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ooja/Documents/GitHub/SCIP_mTurk/SCIP_mT_Private/"/>
    </mc:Choice>
  </mc:AlternateContent>
  <xr:revisionPtr revIDLastSave="0" documentId="13_ncr:1_{B4254A86-9870-3D47-92B5-AD21308D29CB}" xr6:coauthVersionLast="43" xr6:coauthVersionMax="43" xr10:uidLastSave="{00000000-0000-0000-0000-000000000000}"/>
  <bookViews>
    <workbookView xWindow="160" yWindow="500" windowWidth="25440" windowHeight="14580" activeTab="1" xr2:uid="{00000000-000D-0000-FFFF-FFFF00000000}"/>
  </bookViews>
  <sheets>
    <sheet name="RT" sheetId="2" r:id="rId1"/>
    <sheet name="Acc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5" i="3" l="1"/>
  <c r="H65" i="3"/>
  <c r="K65" i="3"/>
  <c r="N65" i="3"/>
  <c r="Q65" i="3"/>
  <c r="T65" i="3"/>
  <c r="W65" i="3"/>
  <c r="Z65" i="3"/>
  <c r="AM72" i="3"/>
  <c r="AM71" i="3"/>
  <c r="AM70" i="3"/>
  <c r="AM69" i="3"/>
  <c r="T64" i="3"/>
  <c r="N64" i="3"/>
  <c r="H64" i="3"/>
  <c r="Z64" i="3"/>
  <c r="W64" i="3"/>
  <c r="Q64" i="3"/>
  <c r="K64" i="3"/>
  <c r="E64" i="3"/>
  <c r="D68" i="2" l="1"/>
  <c r="D67" i="2"/>
  <c r="AV67" i="2" l="1"/>
  <c r="AQ67" i="2"/>
  <c r="AL67" i="2"/>
  <c r="AL66" i="2"/>
  <c r="AG67" i="2"/>
  <c r="AB67" i="2"/>
  <c r="W67" i="2"/>
  <c r="AV66" i="2"/>
  <c r="AH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67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8" i="3"/>
  <c r="AI61" i="3"/>
  <c r="AI62" i="3"/>
  <c r="AI6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67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8" i="3"/>
  <c r="AH61" i="3"/>
  <c r="AH62" i="3"/>
  <c r="AH63" i="3"/>
  <c r="AI3" i="3"/>
  <c r="AM4" i="3"/>
  <c r="AN4" i="3" s="1"/>
  <c r="AM5" i="3"/>
  <c r="AN5" i="3" s="1"/>
  <c r="AM6" i="3"/>
  <c r="AN6" i="3" s="1"/>
  <c r="AM7" i="3"/>
  <c r="AN7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M43" i="3"/>
  <c r="AN43" i="3" s="1"/>
  <c r="AM44" i="3"/>
  <c r="AN44" i="3" s="1"/>
  <c r="AM45" i="3"/>
  <c r="AN45" i="3" s="1"/>
  <c r="AM46" i="3"/>
  <c r="AN46" i="3" s="1"/>
  <c r="AM47" i="3"/>
  <c r="AN47" i="3" s="1"/>
  <c r="AM48" i="3"/>
  <c r="AN48" i="3" s="1"/>
  <c r="AM67" i="3"/>
  <c r="AN67" i="3" s="1"/>
  <c r="AM49" i="3"/>
  <c r="AN49" i="3" s="1"/>
  <c r="AM50" i="3"/>
  <c r="AN50" i="3" s="1"/>
  <c r="AM51" i="3"/>
  <c r="AN51" i="3" s="1"/>
  <c r="AM52" i="3"/>
  <c r="AN52" i="3" s="1"/>
  <c r="AM53" i="3"/>
  <c r="AN53" i="3" s="1"/>
  <c r="AM54" i="3"/>
  <c r="AN54" i="3" s="1"/>
  <c r="AM55" i="3"/>
  <c r="AN55" i="3" s="1"/>
  <c r="AM56" i="3"/>
  <c r="AN56" i="3" s="1"/>
  <c r="AM57" i="3"/>
  <c r="AN57" i="3" s="1"/>
  <c r="AM58" i="3"/>
  <c r="AN58" i="3" s="1"/>
  <c r="AM59" i="3"/>
  <c r="AN59" i="3" s="1"/>
  <c r="AM60" i="3"/>
  <c r="AN60" i="3" s="1"/>
  <c r="AM68" i="3"/>
  <c r="AN68" i="3" s="1"/>
  <c r="AM61" i="3"/>
  <c r="AN61" i="3" s="1"/>
  <c r="AM62" i="3"/>
  <c r="AN62" i="3" s="1"/>
  <c r="AM63" i="3"/>
  <c r="AN63" i="3" s="1"/>
  <c r="AM3" i="3"/>
  <c r="AN3" i="3" s="1"/>
  <c r="AA4" i="3"/>
  <c r="AA5" i="3"/>
  <c r="AA6" i="3"/>
  <c r="AA7" i="3"/>
  <c r="AA8" i="3"/>
  <c r="AB8" i="3" s="1"/>
  <c r="AA9" i="3"/>
  <c r="AA10" i="3"/>
  <c r="AA11" i="3"/>
  <c r="AA12" i="3"/>
  <c r="AA13" i="3"/>
  <c r="AA14" i="3"/>
  <c r="AB14" i="3" s="1"/>
  <c r="AA15" i="3"/>
  <c r="AA16" i="3"/>
  <c r="AB16" i="3" s="1"/>
  <c r="AA17" i="3"/>
  <c r="AA18" i="3"/>
  <c r="AB18" i="3" s="1"/>
  <c r="AA19" i="3"/>
  <c r="AA20" i="3"/>
  <c r="AA21" i="3"/>
  <c r="AA22" i="3"/>
  <c r="AB22" i="3" s="1"/>
  <c r="AA23" i="3"/>
  <c r="AA24" i="3"/>
  <c r="AB24" i="3" s="1"/>
  <c r="AA25" i="3"/>
  <c r="AA26" i="3"/>
  <c r="AA27" i="3"/>
  <c r="AA28" i="3"/>
  <c r="AB28" i="3" s="1"/>
  <c r="AA29" i="3"/>
  <c r="AA30" i="3"/>
  <c r="AB30" i="3" s="1"/>
  <c r="AA31" i="3"/>
  <c r="AA32" i="3"/>
  <c r="AB32" i="3" s="1"/>
  <c r="AA33" i="3"/>
  <c r="AA34" i="3"/>
  <c r="AA35" i="3"/>
  <c r="AA36" i="3"/>
  <c r="AA37" i="3"/>
  <c r="AA38" i="3"/>
  <c r="AB38" i="3" s="1"/>
  <c r="AA39" i="3"/>
  <c r="AA40" i="3"/>
  <c r="AB40" i="3" s="1"/>
  <c r="AA41" i="3"/>
  <c r="AA42" i="3"/>
  <c r="AA43" i="3"/>
  <c r="AA44" i="3"/>
  <c r="AB44" i="3" s="1"/>
  <c r="AA45" i="3"/>
  <c r="AA46" i="3"/>
  <c r="AB46" i="3" s="1"/>
  <c r="AA47" i="3"/>
  <c r="AA48" i="3"/>
  <c r="AB48" i="3" s="1"/>
  <c r="AA67" i="3"/>
  <c r="AA49" i="3"/>
  <c r="AA50" i="3"/>
  <c r="AA51" i="3"/>
  <c r="AA52" i="3"/>
  <c r="AA53" i="3"/>
  <c r="AB53" i="3" s="1"/>
  <c r="AA54" i="3"/>
  <c r="AA55" i="3"/>
  <c r="AB55" i="3" s="1"/>
  <c r="AA56" i="3"/>
  <c r="AA57" i="3"/>
  <c r="AA58" i="3"/>
  <c r="AA59" i="3"/>
  <c r="AB59" i="3" s="1"/>
  <c r="AA60" i="3"/>
  <c r="AA68" i="3"/>
  <c r="AB68" i="3" s="1"/>
  <c r="AA61" i="3"/>
  <c r="AA62" i="3"/>
  <c r="AB62" i="3" s="1"/>
  <c r="AA63" i="3"/>
  <c r="AA3" i="3"/>
  <c r="AJ4" i="3"/>
  <c r="AK4" i="3" s="1"/>
  <c r="AJ5" i="3"/>
  <c r="AK5" i="3" s="1"/>
  <c r="AL5" i="3" s="1"/>
  <c r="AJ6" i="3"/>
  <c r="AK6" i="3" s="1"/>
  <c r="AL6" i="3" s="1"/>
  <c r="AJ7" i="3"/>
  <c r="AK7" i="3" s="1"/>
  <c r="AL7" i="3" s="1"/>
  <c r="AJ8" i="3"/>
  <c r="AK8" i="3" s="1"/>
  <c r="AL8" i="3" s="1"/>
  <c r="AJ9" i="3"/>
  <c r="AK9" i="3" s="1"/>
  <c r="AL9" i="3" s="1"/>
  <c r="AJ10" i="3"/>
  <c r="AK10" i="3" s="1"/>
  <c r="AL10" i="3" s="1"/>
  <c r="AJ11" i="3"/>
  <c r="AK11" i="3" s="1"/>
  <c r="AL11" i="3" s="1"/>
  <c r="AJ12" i="3"/>
  <c r="AK12" i="3" s="1"/>
  <c r="AL12" i="3" s="1"/>
  <c r="AJ13" i="3"/>
  <c r="AK13" i="3" s="1"/>
  <c r="AL13" i="3" s="1"/>
  <c r="AJ14" i="3"/>
  <c r="AK14" i="3" s="1"/>
  <c r="AL14" i="3" s="1"/>
  <c r="AJ15" i="3"/>
  <c r="AK15" i="3" s="1"/>
  <c r="AL15" i="3" s="1"/>
  <c r="AJ16" i="3"/>
  <c r="AK16" i="3" s="1"/>
  <c r="AL16" i="3" s="1"/>
  <c r="AJ17" i="3"/>
  <c r="AK17" i="3" s="1"/>
  <c r="AL17" i="3" s="1"/>
  <c r="AJ18" i="3"/>
  <c r="AK18" i="3" s="1"/>
  <c r="AL18" i="3" s="1"/>
  <c r="AJ19" i="3"/>
  <c r="AK19" i="3" s="1"/>
  <c r="AL19" i="3" s="1"/>
  <c r="AJ20" i="3"/>
  <c r="AK20" i="3" s="1"/>
  <c r="AL20" i="3" s="1"/>
  <c r="AJ21" i="3"/>
  <c r="AK21" i="3" s="1"/>
  <c r="AL21" i="3" s="1"/>
  <c r="AJ22" i="3"/>
  <c r="AK22" i="3" s="1"/>
  <c r="AL22" i="3" s="1"/>
  <c r="AJ23" i="3"/>
  <c r="AK23" i="3" s="1"/>
  <c r="AL23" i="3" s="1"/>
  <c r="AJ24" i="3"/>
  <c r="AK24" i="3" s="1"/>
  <c r="AL24" i="3" s="1"/>
  <c r="AJ25" i="3"/>
  <c r="AK25" i="3" s="1"/>
  <c r="AL25" i="3" s="1"/>
  <c r="AJ26" i="3"/>
  <c r="AK26" i="3" s="1"/>
  <c r="AL26" i="3" s="1"/>
  <c r="AJ27" i="3"/>
  <c r="AK27" i="3" s="1"/>
  <c r="AL27" i="3" s="1"/>
  <c r="AJ28" i="3"/>
  <c r="AK28" i="3" s="1"/>
  <c r="AL28" i="3" s="1"/>
  <c r="AJ29" i="3"/>
  <c r="AK29" i="3" s="1"/>
  <c r="AL29" i="3" s="1"/>
  <c r="AJ30" i="3"/>
  <c r="AK30" i="3" s="1"/>
  <c r="AL30" i="3" s="1"/>
  <c r="AJ31" i="3"/>
  <c r="AK31" i="3" s="1"/>
  <c r="AL31" i="3" s="1"/>
  <c r="AJ32" i="3"/>
  <c r="AK32" i="3" s="1"/>
  <c r="AL32" i="3" s="1"/>
  <c r="AJ33" i="3"/>
  <c r="AK33" i="3" s="1"/>
  <c r="AL33" i="3" s="1"/>
  <c r="AJ34" i="3"/>
  <c r="AK34" i="3" s="1"/>
  <c r="AL34" i="3" s="1"/>
  <c r="AJ35" i="3"/>
  <c r="AK35" i="3" s="1"/>
  <c r="AL35" i="3" s="1"/>
  <c r="AJ36" i="3"/>
  <c r="AK36" i="3" s="1"/>
  <c r="AL36" i="3" s="1"/>
  <c r="AJ37" i="3"/>
  <c r="AK37" i="3" s="1"/>
  <c r="AL37" i="3" s="1"/>
  <c r="AJ38" i="3"/>
  <c r="AK38" i="3" s="1"/>
  <c r="AL38" i="3" s="1"/>
  <c r="AJ39" i="3"/>
  <c r="AK39" i="3" s="1"/>
  <c r="AL39" i="3" s="1"/>
  <c r="AJ40" i="3"/>
  <c r="AK40" i="3" s="1"/>
  <c r="AL40" i="3" s="1"/>
  <c r="AJ41" i="3"/>
  <c r="AK41" i="3" s="1"/>
  <c r="AL41" i="3" s="1"/>
  <c r="AJ42" i="3"/>
  <c r="AK42" i="3" s="1"/>
  <c r="AL42" i="3" s="1"/>
  <c r="AJ43" i="3"/>
  <c r="AK43" i="3" s="1"/>
  <c r="AL43" i="3" s="1"/>
  <c r="AJ44" i="3"/>
  <c r="AK44" i="3" s="1"/>
  <c r="AL44" i="3" s="1"/>
  <c r="AJ45" i="3"/>
  <c r="AK45" i="3" s="1"/>
  <c r="AL45" i="3" s="1"/>
  <c r="AJ46" i="3"/>
  <c r="AK46" i="3" s="1"/>
  <c r="AL46" i="3" s="1"/>
  <c r="AJ47" i="3"/>
  <c r="AK47" i="3" s="1"/>
  <c r="AL47" i="3" s="1"/>
  <c r="AJ48" i="3"/>
  <c r="AK48" i="3" s="1"/>
  <c r="AL48" i="3" s="1"/>
  <c r="AJ67" i="3"/>
  <c r="AK67" i="3" s="1"/>
  <c r="AL67" i="3" s="1"/>
  <c r="AJ49" i="3"/>
  <c r="AK49" i="3" s="1"/>
  <c r="AL49" i="3" s="1"/>
  <c r="AJ50" i="3"/>
  <c r="AK50" i="3" s="1"/>
  <c r="AL50" i="3" s="1"/>
  <c r="AJ51" i="3"/>
  <c r="AK51" i="3" s="1"/>
  <c r="AL51" i="3" s="1"/>
  <c r="AJ52" i="3"/>
  <c r="AK52" i="3" s="1"/>
  <c r="AL52" i="3" s="1"/>
  <c r="AJ53" i="3"/>
  <c r="AK53" i="3" s="1"/>
  <c r="AL53" i="3" s="1"/>
  <c r="AJ54" i="3"/>
  <c r="AK54" i="3" s="1"/>
  <c r="AL54" i="3" s="1"/>
  <c r="AJ55" i="3"/>
  <c r="AK55" i="3" s="1"/>
  <c r="AL55" i="3" s="1"/>
  <c r="AJ56" i="3"/>
  <c r="AK56" i="3" s="1"/>
  <c r="AL56" i="3" s="1"/>
  <c r="AJ57" i="3"/>
  <c r="AK57" i="3" s="1"/>
  <c r="AL57" i="3" s="1"/>
  <c r="AJ58" i="3"/>
  <c r="AK58" i="3" s="1"/>
  <c r="AL58" i="3" s="1"/>
  <c r="AJ59" i="3"/>
  <c r="AK59" i="3" s="1"/>
  <c r="AL59" i="3" s="1"/>
  <c r="AJ60" i="3"/>
  <c r="AK60" i="3" s="1"/>
  <c r="AL60" i="3" s="1"/>
  <c r="AJ68" i="3"/>
  <c r="AK68" i="3" s="1"/>
  <c r="AL68" i="3" s="1"/>
  <c r="AJ61" i="3"/>
  <c r="AK61" i="3" s="1"/>
  <c r="AL61" i="3" s="1"/>
  <c r="AJ62" i="3"/>
  <c r="AK62" i="3" s="1"/>
  <c r="AL62" i="3" s="1"/>
  <c r="AJ63" i="3"/>
  <c r="AK63" i="3" s="1"/>
  <c r="AL63" i="3" s="1"/>
  <c r="AJ3" i="3"/>
  <c r="AE4" i="3"/>
  <c r="AG4" i="3" s="1"/>
  <c r="AE5" i="3"/>
  <c r="AG5" i="3" s="1"/>
  <c r="AE6" i="3"/>
  <c r="AG6" i="3" s="1"/>
  <c r="AE7" i="3"/>
  <c r="AE8" i="3"/>
  <c r="AG8" i="3" s="1"/>
  <c r="AE9" i="3"/>
  <c r="AG9" i="3" s="1"/>
  <c r="AE10" i="3"/>
  <c r="AG10" i="3" s="1"/>
  <c r="AE11" i="3"/>
  <c r="AE12" i="3"/>
  <c r="AG12" i="3" s="1"/>
  <c r="AE13" i="3"/>
  <c r="AG13" i="3" s="1"/>
  <c r="AE14" i="3"/>
  <c r="AG14" i="3" s="1"/>
  <c r="AE15" i="3"/>
  <c r="AE16" i="3"/>
  <c r="AG16" i="3" s="1"/>
  <c r="AE17" i="3"/>
  <c r="AG17" i="3" s="1"/>
  <c r="AE18" i="3"/>
  <c r="AG18" i="3" s="1"/>
  <c r="AE19" i="3"/>
  <c r="AE20" i="3"/>
  <c r="AG20" i="3" s="1"/>
  <c r="AE21" i="3"/>
  <c r="AG21" i="3" s="1"/>
  <c r="AE22" i="3"/>
  <c r="AG22" i="3" s="1"/>
  <c r="AE23" i="3"/>
  <c r="AE24" i="3"/>
  <c r="AG24" i="3" s="1"/>
  <c r="AE25" i="3"/>
  <c r="AG25" i="3" s="1"/>
  <c r="AE26" i="3"/>
  <c r="AG26" i="3" s="1"/>
  <c r="AE27" i="3"/>
  <c r="AE28" i="3"/>
  <c r="AG28" i="3" s="1"/>
  <c r="AE29" i="3"/>
  <c r="AG29" i="3" s="1"/>
  <c r="AE30" i="3"/>
  <c r="AG30" i="3" s="1"/>
  <c r="AE31" i="3"/>
  <c r="AE32" i="3"/>
  <c r="AG32" i="3" s="1"/>
  <c r="AE33" i="3"/>
  <c r="AG33" i="3" s="1"/>
  <c r="AE34" i="3"/>
  <c r="AG34" i="3" s="1"/>
  <c r="AE35" i="3"/>
  <c r="AE36" i="3"/>
  <c r="AG36" i="3" s="1"/>
  <c r="AE37" i="3"/>
  <c r="AG37" i="3" s="1"/>
  <c r="AE38" i="3"/>
  <c r="AG38" i="3" s="1"/>
  <c r="AE39" i="3"/>
  <c r="AE40" i="3"/>
  <c r="AG40" i="3" s="1"/>
  <c r="AE41" i="3"/>
  <c r="AG41" i="3" s="1"/>
  <c r="AE42" i="3"/>
  <c r="AG42" i="3" s="1"/>
  <c r="AE43" i="3"/>
  <c r="AE44" i="3"/>
  <c r="AG44" i="3" s="1"/>
  <c r="AE45" i="3"/>
  <c r="AG45" i="3" s="1"/>
  <c r="AE46" i="3"/>
  <c r="AG46" i="3" s="1"/>
  <c r="AE47" i="3"/>
  <c r="AE48" i="3"/>
  <c r="AG48" i="3" s="1"/>
  <c r="AE67" i="3"/>
  <c r="AG67" i="3" s="1"/>
  <c r="AE49" i="3"/>
  <c r="AF49" i="3" s="1"/>
  <c r="AE50" i="3"/>
  <c r="AE51" i="3"/>
  <c r="AG51" i="3" s="1"/>
  <c r="AE52" i="3"/>
  <c r="AG52" i="3" s="1"/>
  <c r="AE53" i="3"/>
  <c r="AG53" i="3" s="1"/>
  <c r="AE54" i="3"/>
  <c r="AE55" i="3"/>
  <c r="AG55" i="3" s="1"/>
  <c r="AE56" i="3"/>
  <c r="AG56" i="3" s="1"/>
  <c r="AE57" i="3"/>
  <c r="AG57" i="3" s="1"/>
  <c r="AE58" i="3"/>
  <c r="AG58" i="3" s="1"/>
  <c r="AE59" i="3"/>
  <c r="AG59" i="3" s="1"/>
  <c r="AE60" i="3"/>
  <c r="AG60" i="3" s="1"/>
  <c r="AE68" i="3"/>
  <c r="AG68" i="3" s="1"/>
  <c r="AE61" i="3"/>
  <c r="AG61" i="3" s="1"/>
  <c r="AE62" i="3"/>
  <c r="AG62" i="3" s="1"/>
  <c r="AE63" i="3"/>
  <c r="AG63" i="3" s="1"/>
  <c r="AE3" i="3"/>
  <c r="AF3" i="3" s="1"/>
  <c r="F66" i="2"/>
  <c r="G66" i="2"/>
  <c r="E66" i="2"/>
  <c r="O66" i="2"/>
  <c r="P66" i="2"/>
  <c r="N66" i="2"/>
  <c r="T66" i="2"/>
  <c r="U66" i="2"/>
  <c r="S66" i="2"/>
  <c r="Y66" i="2"/>
  <c r="Z66" i="2"/>
  <c r="X66" i="2"/>
  <c r="AD66" i="2"/>
  <c r="AE66" i="2"/>
  <c r="AC66" i="2"/>
  <c r="AI66" i="2"/>
  <c r="AJ66" i="2"/>
  <c r="AH66" i="2"/>
  <c r="AN66" i="2"/>
  <c r="AO66" i="2"/>
  <c r="AM66" i="2"/>
  <c r="AT66" i="2"/>
  <c r="AS66" i="2"/>
  <c r="AR66" i="2"/>
  <c r="AQ66" i="2"/>
  <c r="AG66" i="2"/>
  <c r="AB66" i="2"/>
  <c r="W66" i="2"/>
  <c r="M67" i="2"/>
  <c r="K66" i="2"/>
  <c r="J66" i="2"/>
  <c r="I66" i="2"/>
  <c r="D66" i="2"/>
  <c r="AG50" i="3" l="1"/>
  <c r="AF50" i="3"/>
  <c r="AG39" i="3"/>
  <c r="AF39" i="3"/>
  <c r="AG27" i="3"/>
  <c r="AF27" i="3"/>
  <c r="AG15" i="3"/>
  <c r="AF15" i="3"/>
  <c r="AC61" i="3"/>
  <c r="AD61" i="3"/>
  <c r="AC58" i="3"/>
  <c r="AD58" i="3"/>
  <c r="AC54" i="3"/>
  <c r="AD54" i="3"/>
  <c r="AC50" i="3"/>
  <c r="AD50" i="3"/>
  <c r="AC47" i="3"/>
  <c r="AD47" i="3"/>
  <c r="AC43" i="3"/>
  <c r="AD43" i="3"/>
  <c r="AC39" i="3"/>
  <c r="AD39" i="3"/>
  <c r="AC35" i="3"/>
  <c r="AD35" i="3"/>
  <c r="AC31" i="3"/>
  <c r="AD31" i="3"/>
  <c r="AC27" i="3"/>
  <c r="AD27" i="3"/>
  <c r="AC23" i="3"/>
  <c r="AD23" i="3"/>
  <c r="AC19" i="3"/>
  <c r="AD19" i="3"/>
  <c r="AC15" i="3"/>
  <c r="AD15" i="3"/>
  <c r="AB15" i="3"/>
  <c r="AC11" i="3"/>
  <c r="AD11" i="3"/>
  <c r="AC7" i="3"/>
  <c r="AB7" i="3"/>
  <c r="AD7" i="3"/>
  <c r="AF68" i="3"/>
  <c r="AF57" i="3"/>
  <c r="AF52" i="3"/>
  <c r="AF48" i="3"/>
  <c r="AF42" i="3"/>
  <c r="AF37" i="3"/>
  <c r="AF32" i="3"/>
  <c r="AF26" i="3"/>
  <c r="AF21" i="3"/>
  <c r="AF16" i="3"/>
  <c r="AF10" i="3"/>
  <c r="AF5" i="3"/>
  <c r="AB50" i="3"/>
  <c r="AB35" i="3"/>
  <c r="AG54" i="3"/>
  <c r="AF54" i="3"/>
  <c r="AG43" i="3"/>
  <c r="AF43" i="3"/>
  <c r="AG31" i="3"/>
  <c r="AF31" i="3"/>
  <c r="AG19" i="3"/>
  <c r="AF19" i="3"/>
  <c r="AG7" i="3"/>
  <c r="AF7" i="3"/>
  <c r="AK3" i="3"/>
  <c r="AK65" i="3" s="1"/>
  <c r="AL65" i="3" s="1"/>
  <c r="AL69" i="3" s="1"/>
  <c r="AD3" i="3"/>
  <c r="AC3" i="3"/>
  <c r="AC68" i="3"/>
  <c r="AD68" i="3"/>
  <c r="AD57" i="3"/>
  <c r="AC57" i="3"/>
  <c r="AC53" i="3"/>
  <c r="AD53" i="3"/>
  <c r="AD49" i="3"/>
  <c r="AC49" i="3"/>
  <c r="AC46" i="3"/>
  <c r="AD46" i="3"/>
  <c r="AD42" i="3"/>
  <c r="AC42" i="3"/>
  <c r="AC38" i="3"/>
  <c r="AD38" i="3"/>
  <c r="AD34" i="3"/>
  <c r="AC34" i="3"/>
  <c r="AC30" i="3"/>
  <c r="AD30" i="3"/>
  <c r="AD26" i="3"/>
  <c r="AC26" i="3"/>
  <c r="AC22" i="3"/>
  <c r="AD22" i="3"/>
  <c r="AD18" i="3"/>
  <c r="AC18" i="3"/>
  <c r="AC14" i="3"/>
  <c r="AD14" i="3"/>
  <c r="AD10" i="3"/>
  <c r="AC10" i="3"/>
  <c r="AB10" i="3"/>
  <c r="AC6" i="3"/>
  <c r="AD6" i="3"/>
  <c r="AF63" i="3"/>
  <c r="AF60" i="3"/>
  <c r="AF56" i="3"/>
  <c r="AF51" i="3"/>
  <c r="AF46" i="3"/>
  <c r="AF41" i="3"/>
  <c r="AF36" i="3"/>
  <c r="AF30" i="3"/>
  <c r="AF25" i="3"/>
  <c r="AF20" i="3"/>
  <c r="AF14" i="3"/>
  <c r="AF9" i="3"/>
  <c r="AF4" i="3"/>
  <c r="AB3" i="3"/>
  <c r="AB54" i="3"/>
  <c r="AB49" i="3"/>
  <c r="AB39" i="3"/>
  <c r="AB34" i="3"/>
  <c r="AB23" i="3"/>
  <c r="AB6" i="3"/>
  <c r="AG49" i="3"/>
  <c r="AG47" i="3"/>
  <c r="AF47" i="3"/>
  <c r="AG35" i="3"/>
  <c r="AF35" i="3"/>
  <c r="AG23" i="3"/>
  <c r="AF23" i="3"/>
  <c r="AG11" i="3"/>
  <c r="AF11" i="3"/>
  <c r="AD63" i="3"/>
  <c r="AC63" i="3"/>
  <c r="AB63" i="3"/>
  <c r="AD60" i="3"/>
  <c r="AC60" i="3"/>
  <c r="AB60" i="3"/>
  <c r="AD56" i="3"/>
  <c r="AC56" i="3"/>
  <c r="AB56" i="3"/>
  <c r="AD52" i="3"/>
  <c r="AC52" i="3"/>
  <c r="AB52" i="3"/>
  <c r="AD67" i="3"/>
  <c r="AC67" i="3"/>
  <c r="AB67" i="3"/>
  <c r="AD45" i="3"/>
  <c r="AC45" i="3"/>
  <c r="AB45" i="3"/>
  <c r="AD41" i="3"/>
  <c r="AC41" i="3"/>
  <c r="AB41" i="3"/>
  <c r="AD37" i="3"/>
  <c r="AC37" i="3"/>
  <c r="AB37" i="3"/>
  <c r="AD33" i="3"/>
  <c r="AC33" i="3"/>
  <c r="AB33" i="3"/>
  <c r="AD29" i="3"/>
  <c r="AC29" i="3"/>
  <c r="AB29" i="3"/>
  <c r="AD25" i="3"/>
  <c r="AC25" i="3"/>
  <c r="AB25" i="3"/>
  <c r="AD21" i="3"/>
  <c r="AB21" i="3"/>
  <c r="AC21" i="3"/>
  <c r="AD17" i="3"/>
  <c r="AB17" i="3"/>
  <c r="AC17" i="3"/>
  <c r="AD13" i="3"/>
  <c r="AB13" i="3"/>
  <c r="AC13" i="3"/>
  <c r="AD9" i="3"/>
  <c r="AB9" i="3"/>
  <c r="AC9" i="3"/>
  <c r="AC5" i="3"/>
  <c r="AD5" i="3"/>
  <c r="AB5" i="3"/>
  <c r="AF62" i="3"/>
  <c r="AF59" i="3"/>
  <c r="AF55" i="3"/>
  <c r="AF45" i="3"/>
  <c r="AF40" i="3"/>
  <c r="AF34" i="3"/>
  <c r="AF29" i="3"/>
  <c r="AF24" i="3"/>
  <c r="AF18" i="3"/>
  <c r="AF13" i="3"/>
  <c r="AF8" i="3"/>
  <c r="AB58" i="3"/>
  <c r="AB43" i="3"/>
  <c r="AB27" i="3"/>
  <c r="AN65" i="3"/>
  <c r="AD62" i="3"/>
  <c r="AC62" i="3"/>
  <c r="AD59" i="3"/>
  <c r="AC59" i="3"/>
  <c r="AD55" i="3"/>
  <c r="AC55" i="3"/>
  <c r="AD51" i="3"/>
  <c r="AC51" i="3"/>
  <c r="AD48" i="3"/>
  <c r="AC48" i="3"/>
  <c r="AD44" i="3"/>
  <c r="AC44" i="3"/>
  <c r="AD40" i="3"/>
  <c r="AC40" i="3"/>
  <c r="AD36" i="3"/>
  <c r="AC36" i="3"/>
  <c r="AD32" i="3"/>
  <c r="AC32" i="3"/>
  <c r="AD28" i="3"/>
  <c r="AC28" i="3"/>
  <c r="AD24" i="3"/>
  <c r="AC24" i="3"/>
  <c r="AD20" i="3"/>
  <c r="AC20" i="3"/>
  <c r="AB20" i="3"/>
  <c r="AD16" i="3"/>
  <c r="AC16" i="3"/>
  <c r="AD12" i="3"/>
  <c r="AC12" i="3"/>
  <c r="AB12" i="3"/>
  <c r="AD8" i="3"/>
  <c r="AC8" i="3"/>
  <c r="AD4" i="3"/>
  <c r="AC4" i="3"/>
  <c r="AB4" i="3"/>
  <c r="AF61" i="3"/>
  <c r="AF58" i="3"/>
  <c r="AF53" i="3"/>
  <c r="AF67" i="3"/>
  <c r="AF44" i="3"/>
  <c r="AF38" i="3"/>
  <c r="AF33" i="3"/>
  <c r="AF28" i="3"/>
  <c r="AF22" i="3"/>
  <c r="AF17" i="3"/>
  <c r="AF12" i="3"/>
  <c r="AF6" i="3"/>
  <c r="AB61" i="3"/>
  <c r="AB57" i="3"/>
  <c r="AB51" i="3"/>
  <c r="AB47" i="3"/>
  <c r="AB42" i="3"/>
  <c r="AB36" i="3"/>
  <c r="AB31" i="3"/>
  <c r="AB26" i="3"/>
  <c r="AB19" i="3"/>
  <c r="AB11" i="3"/>
  <c r="AG3" i="3"/>
  <c r="AI65" i="3"/>
  <c r="M66" i="2"/>
  <c r="R66" i="2"/>
  <c r="R67" i="2" s="1"/>
  <c r="AF65" i="3" l="1"/>
  <c r="AL72" i="3"/>
  <c r="AL70" i="3"/>
  <c r="AL71" i="3"/>
</calcChain>
</file>

<file path=xl/sharedStrings.xml><?xml version="1.0" encoding="utf-8"?>
<sst xmlns="http://schemas.openxmlformats.org/spreadsheetml/2006/main" count="1317" uniqueCount="227">
  <si>
    <t>IPAddress</t>
  </si>
  <si>
    <t>Welcome-screen</t>
  </si>
  <si>
    <t>mTurkCode</t>
  </si>
  <si>
    <t>65.31.180.86</t>
  </si>
  <si>
    <t>A3LL096CAY5WHB</t>
  </si>
  <si>
    <t>73.189.183.209</t>
  </si>
  <si>
    <t>A1YSYI926BBOHW</t>
  </si>
  <si>
    <t>67.163.9.149</t>
  </si>
  <si>
    <t>A1561P9VVA3C1C</t>
  </si>
  <si>
    <t>35.137.48.118</t>
  </si>
  <si>
    <t>A198MSVO1VTAT5</t>
  </si>
  <si>
    <t>70.179.22.113</t>
  </si>
  <si>
    <t>A2YGOORS5N9RW8</t>
  </si>
  <si>
    <t>68.9.199.68</t>
  </si>
  <si>
    <t>A2S3SV1LQTKJ8K</t>
  </si>
  <si>
    <t>71.199.25.52</t>
  </si>
  <si>
    <t>A1PAMVTKGCXSWQ</t>
  </si>
  <si>
    <t>24.18.153.117</t>
  </si>
  <si>
    <t>A2CK0OXMPOR9LE</t>
  </si>
  <si>
    <t>96.11.217.115</t>
  </si>
  <si>
    <t>A748N8WFG2HR4</t>
  </si>
  <si>
    <t>108.235.207.164</t>
  </si>
  <si>
    <t>A1Q5RFVJKMZBEN</t>
  </si>
  <si>
    <t>99.203.94.75</t>
  </si>
  <si>
    <t>A37S96RT1P1IT2</t>
  </si>
  <si>
    <t>47.135.1.239</t>
  </si>
  <si>
    <t>A2ONILC0LZKG6Y</t>
  </si>
  <si>
    <t>71.232.130.176</t>
  </si>
  <si>
    <t>A1B76WYZ47BQJ</t>
  </si>
  <si>
    <t>172.242.23.88</t>
  </si>
  <si>
    <t>A1WL3NZ50YEOWP</t>
  </si>
  <si>
    <t>96.255.136.215</t>
  </si>
  <si>
    <t>67.61.187.126</t>
  </si>
  <si>
    <t>A1N16ZU0FNQEY6</t>
  </si>
  <si>
    <t>50.25.70.238</t>
  </si>
  <si>
    <t>A1GKD3NG1NNHRP</t>
  </si>
  <si>
    <t>67.83.42.125</t>
  </si>
  <si>
    <t>ALV4DAF8DIJ37</t>
  </si>
  <si>
    <t>142.196.134.138</t>
  </si>
  <si>
    <t>A13FUEPWBCLBUY</t>
  </si>
  <si>
    <t>104.169.176.1</t>
  </si>
  <si>
    <t>A1DMXEJGJY02E1</t>
  </si>
  <si>
    <t>174.60.204.226</t>
  </si>
  <si>
    <t>A110KENBXU7SUJ</t>
  </si>
  <si>
    <t>98.232.238.129</t>
  </si>
  <si>
    <t>A320QA9HJFUOZO</t>
  </si>
  <si>
    <t>208.38.240.182</t>
  </si>
  <si>
    <t>A2YUCJ28XANFOX</t>
  </si>
  <si>
    <t>107.77.201.126</t>
  </si>
  <si>
    <t>A3GM78FCDY293T</t>
  </si>
  <si>
    <t>68.13.242.97</t>
  </si>
  <si>
    <t>AZ8JL3QNIPY4U</t>
  </si>
  <si>
    <t>199.241.125.93</t>
  </si>
  <si>
    <t>A30KYQGABO7JER</t>
  </si>
  <si>
    <t>73.48.80.170</t>
  </si>
  <si>
    <t>A1P6OXEJ86HQRM</t>
  </si>
  <si>
    <t>68.9.189.214</t>
  </si>
  <si>
    <t>LOGIC2</t>
  </si>
  <si>
    <t>74.222.112.101</t>
  </si>
  <si>
    <t>A2S8ZTPKX3B928</t>
  </si>
  <si>
    <t>65.101.169.235</t>
  </si>
  <si>
    <t>A4CY0RPTUKVJS</t>
  </si>
  <si>
    <t>73.136.155.223</t>
  </si>
  <si>
    <t>A1F1TBDHPYAAXT</t>
  </si>
  <si>
    <t>98.127.137.72</t>
  </si>
  <si>
    <t>AAXX5LDVJ32F8</t>
  </si>
  <si>
    <t>108.232.155.164</t>
  </si>
  <si>
    <t>AIZTLQM7HHQN6</t>
  </si>
  <si>
    <t>71.66.44.10</t>
  </si>
  <si>
    <t>A22DF0EWILGRLV</t>
  </si>
  <si>
    <t>67.186.17.35</t>
  </si>
  <si>
    <t>AM2KK02JXXW48</t>
  </si>
  <si>
    <t>130.111.64.61</t>
  </si>
  <si>
    <t>AIUOH9YE27PQ2</t>
  </si>
  <si>
    <t>107.202.124.147</t>
  </si>
  <si>
    <t>AOOLS8280CL0Z</t>
  </si>
  <si>
    <t>179.53.46.78</t>
  </si>
  <si>
    <t>ATP43ZVI1RP0C</t>
  </si>
  <si>
    <t>67.241.241.71</t>
  </si>
  <si>
    <t>A1D9ZWU1M46SAF</t>
  </si>
  <si>
    <t>173.225.145.74</t>
  </si>
  <si>
    <t>A3LT7W355XOAKF</t>
  </si>
  <si>
    <t>50.109.64.44</t>
  </si>
  <si>
    <t>ACZCCLKP1S5B4</t>
  </si>
  <si>
    <t>108.64.75.194</t>
  </si>
  <si>
    <t>AJRY9ALX8069Y</t>
  </si>
  <si>
    <t>108.30.21.41</t>
  </si>
  <si>
    <t>A2NGMLBFZ3YQP5</t>
  </si>
  <si>
    <t>24.208.131.223</t>
  </si>
  <si>
    <t>A2T11H7YI7QPGD</t>
  </si>
  <si>
    <t>174.17.114.123</t>
  </si>
  <si>
    <t>A2TVJTQ4VXATE6</t>
  </si>
  <si>
    <t>24.49.56.194</t>
  </si>
  <si>
    <t>A4SC8G0149GEG</t>
  </si>
  <si>
    <t>76.185.183.214</t>
  </si>
  <si>
    <t>181.215.51.70</t>
  </si>
  <si>
    <t>A19QXUIRBH5FXP</t>
  </si>
  <si>
    <t>23.121.106.10</t>
  </si>
  <si>
    <t>ASW9MABLSXSPK</t>
  </si>
  <si>
    <t>162.204.57.19</t>
  </si>
  <si>
    <t>A1SP3GBRZKMWZJ</t>
  </si>
  <si>
    <t>76.125.244.14</t>
  </si>
  <si>
    <t>A3I1W58P6SIV26</t>
  </si>
  <si>
    <t>108.66.4.224</t>
  </si>
  <si>
    <t>A2EKR2ZFO10VMV</t>
  </si>
  <si>
    <t>47.51.193.35</t>
  </si>
  <si>
    <t>A2AM62BHO8G9MB</t>
  </si>
  <si>
    <t>45.36.148.118</t>
  </si>
  <si>
    <t>A2Y5I2HJTRFR8H</t>
  </si>
  <si>
    <t>99.13.250.13</t>
  </si>
  <si>
    <t>A2BNOEYZ3VRW2R</t>
  </si>
  <si>
    <t>70.40.246.74</t>
  </si>
  <si>
    <t>A32TGAK321JDFF</t>
  </si>
  <si>
    <t>73.140.38.58</t>
  </si>
  <si>
    <t>70.179.150.173</t>
  </si>
  <si>
    <t>A1O0BGHFTMPQM0</t>
  </si>
  <si>
    <t>74.140.109.188</t>
  </si>
  <si>
    <t>A2QBFXY9UQMJTT</t>
  </si>
  <si>
    <t>98.116.149.245</t>
  </si>
  <si>
    <t>A2G7N0X0PNX0EE</t>
  </si>
  <si>
    <t>47.157.22.22</t>
  </si>
  <si>
    <t>A1PUHCEBSOWETV</t>
  </si>
  <si>
    <t>174.230.148.9</t>
  </si>
  <si>
    <t>AFU00NU09CFXE</t>
  </si>
  <si>
    <t>45.35.132.200</t>
  </si>
  <si>
    <t>23.125.44.89</t>
  </si>
  <si>
    <t>A1BVG13MHBM1YD</t>
  </si>
  <si>
    <t>64.121.102.112</t>
  </si>
  <si>
    <t>A1G187YBG0DVMQ</t>
  </si>
  <si>
    <t>fam_clicks</t>
  </si>
  <si>
    <t xml:space="preserve">Notes: </t>
  </si>
  <si>
    <t>red highlighting means no data collected, because they chose 'no speakers' at the begin of survey (2/65)</t>
  </si>
  <si>
    <t>Speakers = ON for all participants included above (ignoring red, 63/65)</t>
  </si>
  <si>
    <t>yellow highlighting indicates participant took 5 min or longer to complete task (5/63)</t>
  </si>
  <si>
    <t>orange highlighting indicates evidence of non-proficiency in English (2/63)</t>
  </si>
  <si>
    <t xml:space="preserve">Recommendations for data pruning: </t>
  </si>
  <si>
    <t>Exclude participants who took less than 2 min (120s) or greater than 5 min (300s)</t>
  </si>
  <si>
    <t xml:space="preserve">TIMING </t>
  </si>
  <si>
    <t>right</t>
  </si>
  <si>
    <t>R4_correct</t>
  </si>
  <si>
    <t>R4_chosen</t>
  </si>
  <si>
    <t>R4_acc</t>
  </si>
  <si>
    <t>recap_total</t>
  </si>
  <si>
    <t>critical_total</t>
  </si>
  <si>
    <t>gen_total</t>
  </si>
  <si>
    <t>CrA_correct</t>
  </si>
  <si>
    <t>CrA_chosen</t>
  </si>
  <si>
    <t>CrA_acc</t>
  </si>
  <si>
    <t>G1_correct</t>
  </si>
  <si>
    <t>G1_chosen</t>
  </si>
  <si>
    <t>G1_acc</t>
  </si>
  <si>
    <t>left</t>
  </si>
  <si>
    <t>G2_correct</t>
  </si>
  <si>
    <t>G2_chosen</t>
  </si>
  <si>
    <t>G2_acc</t>
  </si>
  <si>
    <t>CrB_clicks</t>
  </si>
  <si>
    <t>CrB_correct</t>
  </si>
  <si>
    <t>CrB_chosen</t>
  </si>
  <si>
    <t>CrB_acc</t>
  </si>
  <si>
    <t>R1_clicks</t>
  </si>
  <si>
    <t>R2_clicks</t>
  </si>
  <si>
    <t>R3_clicks</t>
  </si>
  <si>
    <t>G2_clicks</t>
  </si>
  <si>
    <t>G2_submit</t>
  </si>
  <si>
    <t>G2_lastClick</t>
  </si>
  <si>
    <t>G2_click1</t>
  </si>
  <si>
    <t>R3_correct</t>
  </si>
  <si>
    <t>R3_chosen</t>
  </si>
  <si>
    <t>R3_acc</t>
  </si>
  <si>
    <t>R3_submit</t>
  </si>
  <si>
    <t>R3_lastClick</t>
  </si>
  <si>
    <t>R3_click1</t>
  </si>
  <si>
    <t>R4_clicks</t>
  </si>
  <si>
    <t>R4_submit</t>
  </si>
  <si>
    <t>R4_lastClick</t>
  </si>
  <si>
    <t>G1_clicks</t>
  </si>
  <si>
    <t>G1_submit</t>
  </si>
  <si>
    <t>G1_lastClick</t>
  </si>
  <si>
    <t>G1_click1</t>
  </si>
  <si>
    <t>R1_correct</t>
  </si>
  <si>
    <t>R1_chosen</t>
  </si>
  <si>
    <t>R1_acc</t>
  </si>
  <si>
    <t>R1_submit</t>
  </si>
  <si>
    <t>R1_lastClick</t>
  </si>
  <si>
    <t>R1_click1</t>
  </si>
  <si>
    <t>CrB_submit</t>
  </si>
  <si>
    <t>CrB_click1</t>
  </si>
  <si>
    <t>CrB_lastClick</t>
  </si>
  <si>
    <t>R2_correct</t>
  </si>
  <si>
    <t>R2_chosen</t>
  </si>
  <si>
    <t>R2_acc</t>
  </si>
  <si>
    <t>R2_click1</t>
  </si>
  <si>
    <t>R2_lastClick</t>
  </si>
  <si>
    <t>R2_submit</t>
  </si>
  <si>
    <t>fam_submit</t>
  </si>
  <si>
    <t>fam_lastClick</t>
  </si>
  <si>
    <t>fam_click1</t>
  </si>
  <si>
    <t>totalTime_sec</t>
  </si>
  <si>
    <t>FAMILIARIZATION</t>
  </si>
  <si>
    <t>CrA_lastClick</t>
  </si>
  <si>
    <t>CrA_click1</t>
  </si>
  <si>
    <t>CrA_submit</t>
  </si>
  <si>
    <t>CrA_clicks</t>
  </si>
  <si>
    <t>R4_click1</t>
  </si>
  <si>
    <t>AVERAGE (time)</t>
  </si>
  <si>
    <t>recap%</t>
  </si>
  <si>
    <t>TOTAL</t>
  </si>
  <si>
    <t>critical%</t>
  </si>
  <si>
    <t>TOTAL%</t>
  </si>
  <si>
    <t>SUMMARY</t>
  </si>
  <si>
    <t>gen%</t>
  </si>
  <si>
    <t>inner-recap</t>
  </si>
  <si>
    <t>outer-recap</t>
  </si>
  <si>
    <t xml:space="preserve">PERFECT_critical: </t>
  </si>
  <si>
    <t>PERFECT_ALL:</t>
  </si>
  <si>
    <t>crit_PERFECT?</t>
  </si>
  <si>
    <t>recap_PERFECT?</t>
  </si>
  <si>
    <t xml:space="preserve">PERFECT_recap: </t>
  </si>
  <si>
    <t>PERFECT</t>
  </si>
  <si>
    <t>(NEAR-)PERFECT</t>
  </si>
  <si>
    <t>(near-)PERFECT_ALL:</t>
  </si>
  <si>
    <t>subject</t>
  </si>
  <si>
    <t>min</t>
  </si>
  <si>
    <t>max</t>
  </si>
  <si>
    <t>sum</t>
  </si>
  <si>
    <t>%</t>
  </si>
  <si>
    <t>Excluded_insuff-EN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</si>
</sst>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3" borderId="0" xfId="0" applyFill="1"/>
    <xf numFmtId="0" fontId="16" fillId="0" borderId="0" xfId="0" applyFont="1"/>
    <xf numFmtId="0" fontId="8" fillId="4" borderId="0" xfId="8"/>
    <xf numFmtId="0" fontId="1" fillId="15" borderId="0" xfId="24"/>
    <xf numFmtId="0" fontId="1" fillId="34" borderId="0" xfId="24" applyFill="1"/>
    <xf numFmtId="0" fontId="1" fillId="10" borderId="0" xfId="19"/>
    <xf numFmtId="0" fontId="1" fillId="11" borderId="0" xfId="20"/>
    <xf numFmtId="0" fontId="0" fillId="0" borderId="0" xfId="0" applyFill="1"/>
    <xf numFmtId="0" fontId="16" fillId="35" borderId="0" xfId="0" applyFont="1" applyFill="1"/>
    <xf numFmtId="0" fontId="0" fillId="35" borderId="0" xfId="0" applyFill="1"/>
    <xf numFmtId="0" fontId="1" fillId="35" borderId="0" xfId="24" applyFill="1"/>
    <xf numFmtId="0" fontId="8" fillId="35" borderId="0" xfId="8" applyFill="1"/>
    <xf numFmtId="0" fontId="16" fillId="0" borderId="0" xfId="20" applyFont="1" applyFill="1"/>
    <xf numFmtId="0" fontId="16" fillId="35" borderId="0" xfId="20" applyFont="1" applyFill="1"/>
    <xf numFmtId="0" fontId="16" fillId="11" borderId="0" xfId="20" applyFont="1"/>
    <xf numFmtId="0" fontId="16" fillId="35" borderId="0" xfId="19" applyFont="1" applyFill="1"/>
    <xf numFmtId="0" fontId="0" fillId="10" borderId="0" xfId="19" applyFont="1"/>
    <xf numFmtId="0" fontId="0" fillId="11" borderId="0" xfId="20" applyFont="1"/>
    <xf numFmtId="0" fontId="16" fillId="0" borderId="0" xfId="19" applyFont="1" applyFill="1"/>
    <xf numFmtId="0" fontId="1" fillId="0" borderId="0" xfId="19" applyFill="1"/>
    <xf numFmtId="0" fontId="0" fillId="36" borderId="0" xfId="0" applyFill="1"/>
    <xf numFmtId="0" fontId="16" fillId="36" borderId="0" xfId="0" applyFont="1" applyFill="1"/>
    <xf numFmtId="0" fontId="0" fillId="36" borderId="8" xfId="15" applyFont="1" applyFill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16" fillId="10" borderId="0" xfId="19" applyFont="1" applyAlignment="1">
      <alignment horizontal="right"/>
    </xf>
    <xf numFmtId="0" fontId="16" fillId="11" borderId="0" xfId="20" applyFont="1" applyAlignment="1">
      <alignment horizontal="left"/>
    </xf>
    <xf numFmtId="0" fontId="16" fillId="35" borderId="0" xfId="0" applyFont="1" applyFill="1" applyAlignment="1">
      <alignment horizontal="left"/>
    </xf>
    <xf numFmtId="0" fontId="16" fillId="10" borderId="0" xfId="19" applyFont="1" applyAlignment="1">
      <alignment horizontal="left"/>
    </xf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V81"/>
  <sheetViews>
    <sheetView topLeftCell="AM43" workbookViewId="0">
      <selection activeCell="A49" sqref="A49:XFD49"/>
    </sheetView>
  </sheetViews>
  <sheetFormatPr baseColWidth="10" defaultRowHeight="16" x14ac:dyDescent="0.2"/>
  <cols>
    <col min="2" max="2" width="19" customWidth="1"/>
    <col min="3" max="3" width="11.33203125" customWidth="1"/>
    <col min="4" max="4" width="13.5" customWidth="1"/>
    <col min="8" max="8" width="9.83203125" customWidth="1"/>
    <col min="13" max="13" width="7.83203125" customWidth="1"/>
    <col min="16" max="16" width="9.33203125" customWidth="1"/>
    <col min="17" max="17" width="9" customWidth="1"/>
    <col min="18" max="18" width="6.83203125" customWidth="1"/>
    <col min="23" max="23" width="7.5" customWidth="1"/>
    <col min="31" max="31" width="9.83203125" customWidth="1"/>
    <col min="32" max="32" width="8.6640625" customWidth="1"/>
    <col min="33" max="33" width="6.83203125" customWidth="1"/>
    <col min="34" max="34" width="8.6640625" customWidth="1"/>
    <col min="36" max="36" width="10.1640625" customWidth="1"/>
    <col min="37" max="37" width="8.5" customWidth="1"/>
    <col min="38" max="38" width="7" customWidth="1"/>
    <col min="39" max="39" width="9.33203125" customWidth="1"/>
    <col min="40" max="40" width="11.83203125" customWidth="1"/>
    <col min="42" max="42" width="9" customWidth="1"/>
    <col min="43" max="43" width="8" customWidth="1"/>
    <col min="46" max="46" width="10.1640625" customWidth="1"/>
    <col min="47" max="47" width="8.83203125" customWidth="1"/>
    <col min="48" max="48" width="6.83203125" customWidth="1"/>
  </cols>
  <sheetData>
    <row r="1" spans="1:48" x14ac:dyDescent="0.2">
      <c r="A1" t="s">
        <v>137</v>
      </c>
      <c r="E1" t="s">
        <v>198</v>
      </c>
      <c r="I1">
        <v>1</v>
      </c>
      <c r="N1">
        <v>2</v>
      </c>
      <c r="S1">
        <v>3</v>
      </c>
      <c r="X1">
        <v>4</v>
      </c>
      <c r="AC1">
        <v>5</v>
      </c>
      <c r="AH1">
        <v>6</v>
      </c>
      <c r="AM1">
        <v>7</v>
      </c>
      <c r="AR1">
        <v>8</v>
      </c>
    </row>
    <row r="2" spans="1:48" x14ac:dyDescent="0.2">
      <c r="A2" s="2" t="s">
        <v>0</v>
      </c>
      <c r="B2" s="2" t="s">
        <v>1</v>
      </c>
      <c r="C2" s="2" t="s">
        <v>2</v>
      </c>
      <c r="D2" s="2" t="s">
        <v>197</v>
      </c>
      <c r="E2" s="2" t="s">
        <v>196</v>
      </c>
      <c r="F2" s="2" t="s">
        <v>195</v>
      </c>
      <c r="G2" s="2" t="s">
        <v>194</v>
      </c>
      <c r="H2" s="2" t="s">
        <v>129</v>
      </c>
      <c r="I2" s="16" t="s">
        <v>165</v>
      </c>
      <c r="J2" s="16" t="s">
        <v>164</v>
      </c>
      <c r="K2" s="16" t="s">
        <v>163</v>
      </c>
      <c r="L2" s="16" t="s">
        <v>162</v>
      </c>
      <c r="M2" s="9" t="s">
        <v>154</v>
      </c>
      <c r="N2" s="2" t="s">
        <v>171</v>
      </c>
      <c r="O2" s="2" t="s">
        <v>170</v>
      </c>
      <c r="P2" s="2" t="s">
        <v>169</v>
      </c>
      <c r="Q2" s="2" t="s">
        <v>161</v>
      </c>
      <c r="R2" s="2" t="s">
        <v>168</v>
      </c>
      <c r="S2" s="15" t="s">
        <v>191</v>
      </c>
      <c r="T2" s="15" t="s">
        <v>192</v>
      </c>
      <c r="U2" s="15" t="s">
        <v>193</v>
      </c>
      <c r="V2" s="15" t="s">
        <v>160</v>
      </c>
      <c r="W2" s="9" t="s">
        <v>190</v>
      </c>
      <c r="X2" s="2" t="s">
        <v>186</v>
      </c>
      <c r="Y2" s="2" t="s">
        <v>187</v>
      </c>
      <c r="Z2" s="2" t="s">
        <v>185</v>
      </c>
      <c r="AA2" s="2" t="s">
        <v>155</v>
      </c>
      <c r="AB2" s="2" t="s">
        <v>158</v>
      </c>
      <c r="AC2" s="9" t="s">
        <v>184</v>
      </c>
      <c r="AD2" s="9" t="s">
        <v>183</v>
      </c>
      <c r="AE2" s="9" t="s">
        <v>182</v>
      </c>
      <c r="AF2" s="9" t="s">
        <v>159</v>
      </c>
      <c r="AG2" s="14" t="s">
        <v>181</v>
      </c>
      <c r="AH2" s="2" t="s">
        <v>178</v>
      </c>
      <c r="AI2" s="2" t="s">
        <v>177</v>
      </c>
      <c r="AJ2" s="2" t="s">
        <v>176</v>
      </c>
      <c r="AK2" s="2" t="s">
        <v>175</v>
      </c>
      <c r="AL2" s="2" t="s">
        <v>150</v>
      </c>
      <c r="AM2" s="9" t="s">
        <v>200</v>
      </c>
      <c r="AN2" s="9" t="s">
        <v>199</v>
      </c>
      <c r="AO2" s="9" t="s">
        <v>201</v>
      </c>
      <c r="AP2" s="9" t="s">
        <v>202</v>
      </c>
      <c r="AQ2" s="14" t="s">
        <v>147</v>
      </c>
      <c r="AR2" s="2" t="s">
        <v>203</v>
      </c>
      <c r="AS2" s="2" t="s">
        <v>174</v>
      </c>
      <c r="AT2" s="2" t="s">
        <v>173</v>
      </c>
      <c r="AU2" s="2" t="s">
        <v>172</v>
      </c>
      <c r="AV2" s="2" t="s">
        <v>141</v>
      </c>
    </row>
    <row r="3" spans="1:48" x14ac:dyDescent="0.2">
      <c r="A3" t="s">
        <v>3</v>
      </c>
      <c r="B3" t="s">
        <v>4</v>
      </c>
      <c r="C3">
        <v>9898856</v>
      </c>
      <c r="D3">
        <v>119</v>
      </c>
      <c r="E3">
        <v>0</v>
      </c>
      <c r="F3">
        <v>0</v>
      </c>
      <c r="G3">
        <v>59.896000000000001</v>
      </c>
      <c r="H3">
        <v>0</v>
      </c>
      <c r="I3" s="6">
        <v>0.59699999999999998</v>
      </c>
      <c r="J3" s="6">
        <v>0.59699999999999998</v>
      </c>
      <c r="K3" s="6">
        <v>0.80500000000000005</v>
      </c>
      <c r="L3" s="6">
        <v>1</v>
      </c>
      <c r="M3" s="6">
        <v>1</v>
      </c>
      <c r="N3">
        <v>1.7809999999999999</v>
      </c>
      <c r="O3">
        <v>1.7809999999999999</v>
      </c>
      <c r="P3">
        <v>1.8959999999999999</v>
      </c>
      <c r="Q3">
        <v>1</v>
      </c>
      <c r="R3">
        <v>0</v>
      </c>
      <c r="S3" s="7">
        <v>2.4750000000000001</v>
      </c>
      <c r="T3" s="7">
        <v>2.4750000000000001</v>
      </c>
      <c r="U3" s="7">
        <v>2.5680000000000001</v>
      </c>
      <c r="V3" s="7">
        <v>1</v>
      </c>
      <c r="W3" s="10">
        <v>0</v>
      </c>
      <c r="X3">
        <v>2.7629999999999999</v>
      </c>
      <c r="Y3">
        <v>2.7629999999999999</v>
      </c>
      <c r="Z3">
        <v>3.6579999999999999</v>
      </c>
      <c r="AA3">
        <v>1</v>
      </c>
      <c r="AB3">
        <v>0</v>
      </c>
      <c r="AC3" s="10">
        <v>0.92500000000000004</v>
      </c>
      <c r="AD3" s="10">
        <v>0.92500000000000004</v>
      </c>
      <c r="AE3" s="10">
        <v>1.0980000000000001</v>
      </c>
      <c r="AF3" s="10">
        <v>1</v>
      </c>
      <c r="AG3" s="10">
        <v>1</v>
      </c>
      <c r="AH3">
        <v>0.47099999999999997</v>
      </c>
      <c r="AI3">
        <v>0.47099999999999997</v>
      </c>
      <c r="AJ3">
        <v>1.51</v>
      </c>
      <c r="AK3">
        <v>1</v>
      </c>
      <c r="AL3">
        <v>1</v>
      </c>
      <c r="AM3" s="10">
        <v>0.53300000000000003</v>
      </c>
      <c r="AN3" s="10">
        <v>0.53300000000000003</v>
      </c>
      <c r="AO3" s="10">
        <v>0.84299999999999997</v>
      </c>
      <c r="AP3" s="10">
        <v>1</v>
      </c>
      <c r="AQ3" s="10">
        <v>0</v>
      </c>
      <c r="AR3">
        <v>0.158</v>
      </c>
      <c r="AS3">
        <v>0.158</v>
      </c>
      <c r="AT3">
        <v>0.81899999999999995</v>
      </c>
      <c r="AU3">
        <v>1</v>
      </c>
      <c r="AV3">
        <v>1</v>
      </c>
    </row>
    <row r="4" spans="1:48" x14ac:dyDescent="0.2">
      <c r="A4" t="s">
        <v>5</v>
      </c>
      <c r="B4" t="s">
        <v>6</v>
      </c>
      <c r="C4">
        <v>8819080</v>
      </c>
      <c r="D4">
        <v>116</v>
      </c>
      <c r="E4">
        <v>6.8490000000000002</v>
      </c>
      <c r="F4">
        <v>58.31</v>
      </c>
      <c r="G4">
        <v>58.884999999999998</v>
      </c>
      <c r="H4">
        <v>2</v>
      </c>
      <c r="I4" s="6">
        <v>0.95399999999999996</v>
      </c>
      <c r="J4" s="6">
        <v>0.95399999999999996</v>
      </c>
      <c r="K4" s="6">
        <v>2.1150000000000002</v>
      </c>
      <c r="L4" s="6">
        <v>1</v>
      </c>
      <c r="M4" s="6">
        <v>1</v>
      </c>
      <c r="N4">
        <v>1.33</v>
      </c>
      <c r="O4">
        <v>1.33</v>
      </c>
      <c r="P4">
        <v>2.7229999999999999</v>
      </c>
      <c r="Q4">
        <v>1</v>
      </c>
      <c r="R4">
        <v>1</v>
      </c>
      <c r="S4" s="7">
        <v>1.556</v>
      </c>
      <c r="T4" s="7">
        <v>1.556</v>
      </c>
      <c r="U4" s="7">
        <v>2.335</v>
      </c>
      <c r="V4" s="7">
        <v>1</v>
      </c>
      <c r="W4" s="10">
        <v>1</v>
      </c>
      <c r="X4">
        <v>2.6680000000000001</v>
      </c>
      <c r="Y4">
        <v>2.6680000000000001</v>
      </c>
      <c r="Z4">
        <v>3.5110000000000001</v>
      </c>
      <c r="AA4">
        <v>1</v>
      </c>
      <c r="AB4">
        <v>1</v>
      </c>
      <c r="AC4" s="10">
        <v>0.66200000000000003</v>
      </c>
      <c r="AD4" s="10">
        <v>0.66200000000000003</v>
      </c>
      <c r="AE4" s="10">
        <v>1.345</v>
      </c>
      <c r="AF4" s="10">
        <v>1</v>
      </c>
      <c r="AG4" s="10">
        <v>1</v>
      </c>
      <c r="AH4">
        <v>0.76800000000000002</v>
      </c>
      <c r="AI4">
        <v>0.76800000000000002</v>
      </c>
      <c r="AJ4">
        <v>1.4830000000000001</v>
      </c>
      <c r="AK4">
        <v>1</v>
      </c>
      <c r="AL4">
        <v>1</v>
      </c>
      <c r="AM4" s="10">
        <v>0.71</v>
      </c>
      <c r="AN4" s="10">
        <v>0.71</v>
      </c>
      <c r="AO4" s="10">
        <v>1.3460000000000001</v>
      </c>
      <c r="AP4" s="10">
        <v>1</v>
      </c>
      <c r="AQ4" s="10">
        <v>1</v>
      </c>
      <c r="AR4">
        <v>0.56999999999999995</v>
      </c>
      <c r="AS4">
        <v>0.56999999999999995</v>
      </c>
      <c r="AT4">
        <v>1.2490000000000001</v>
      </c>
      <c r="AU4">
        <v>1</v>
      </c>
      <c r="AV4">
        <v>1</v>
      </c>
    </row>
    <row r="5" spans="1:48" x14ac:dyDescent="0.2">
      <c r="A5" t="s">
        <v>7</v>
      </c>
      <c r="B5" t="s">
        <v>8</v>
      </c>
      <c r="C5">
        <v>8724598</v>
      </c>
      <c r="D5">
        <v>178</v>
      </c>
      <c r="E5">
        <v>0</v>
      </c>
      <c r="F5">
        <v>0</v>
      </c>
      <c r="G5">
        <v>59.317999999999998</v>
      </c>
      <c r="H5">
        <v>0</v>
      </c>
      <c r="I5" s="6">
        <v>4.49</v>
      </c>
      <c r="J5" s="6">
        <v>4.49</v>
      </c>
      <c r="K5" s="6">
        <v>5.5430000000000001</v>
      </c>
      <c r="L5" s="6">
        <v>1</v>
      </c>
      <c r="M5" s="6">
        <v>0</v>
      </c>
      <c r="N5">
        <v>2.0539999999999998</v>
      </c>
      <c r="O5">
        <v>2.0539999999999998</v>
      </c>
      <c r="P5">
        <v>3.3450000000000002</v>
      </c>
      <c r="Q5">
        <v>1</v>
      </c>
      <c r="R5">
        <v>1</v>
      </c>
      <c r="S5" s="7">
        <v>1.929</v>
      </c>
      <c r="T5" s="7">
        <v>1.929</v>
      </c>
      <c r="U5" s="7">
        <v>3.0619999999999998</v>
      </c>
      <c r="V5" s="7">
        <v>1</v>
      </c>
      <c r="W5" s="10">
        <v>0</v>
      </c>
      <c r="X5">
        <v>2.99</v>
      </c>
      <c r="Y5">
        <v>2.99</v>
      </c>
      <c r="Z5">
        <v>4.5259999999999998</v>
      </c>
      <c r="AA5">
        <v>1</v>
      </c>
      <c r="AB5">
        <v>1</v>
      </c>
      <c r="AC5" s="10">
        <v>2.617</v>
      </c>
      <c r="AD5" s="10">
        <v>2.617</v>
      </c>
      <c r="AE5" s="10">
        <v>4.1959999999999997</v>
      </c>
      <c r="AF5" s="10">
        <v>1</v>
      </c>
      <c r="AG5" s="10">
        <v>1</v>
      </c>
      <c r="AH5">
        <v>2.9020000000000001</v>
      </c>
      <c r="AI5">
        <v>2.9020000000000001</v>
      </c>
      <c r="AJ5">
        <v>4.4429999999999996</v>
      </c>
      <c r="AK5">
        <v>1</v>
      </c>
      <c r="AL5">
        <v>1</v>
      </c>
      <c r="AM5" s="10">
        <v>1.7809999999999999</v>
      </c>
      <c r="AN5" s="10">
        <v>1.7809999999999999</v>
      </c>
      <c r="AO5" s="10">
        <v>2.8820000000000001</v>
      </c>
      <c r="AP5" s="10">
        <v>1</v>
      </c>
      <c r="AQ5" s="10">
        <v>1</v>
      </c>
      <c r="AR5">
        <v>1.66</v>
      </c>
      <c r="AS5">
        <v>1.66</v>
      </c>
      <c r="AT5">
        <v>2.9830000000000001</v>
      </c>
      <c r="AU5">
        <v>1</v>
      </c>
      <c r="AV5">
        <v>0</v>
      </c>
    </row>
    <row r="6" spans="1:48" x14ac:dyDescent="0.2">
      <c r="A6" t="s">
        <v>9</v>
      </c>
      <c r="B6" t="s">
        <v>10</v>
      </c>
      <c r="C6">
        <v>3906904</v>
      </c>
      <c r="D6">
        <v>144</v>
      </c>
      <c r="E6">
        <v>1.831</v>
      </c>
      <c r="F6">
        <v>59.084000000000003</v>
      </c>
      <c r="G6">
        <v>59.521000000000001</v>
      </c>
      <c r="H6">
        <v>2</v>
      </c>
      <c r="I6" s="6">
        <v>1.125</v>
      </c>
      <c r="J6" s="6">
        <v>1.7390000000000001</v>
      </c>
      <c r="K6" s="6">
        <v>2.3690000000000002</v>
      </c>
      <c r="L6" s="6">
        <v>2</v>
      </c>
      <c r="M6" s="6">
        <v>1</v>
      </c>
      <c r="N6">
        <v>1.8779999999999999</v>
      </c>
      <c r="O6">
        <v>3.39</v>
      </c>
      <c r="P6">
        <v>3.8860000000000001</v>
      </c>
      <c r="Q6">
        <v>3</v>
      </c>
      <c r="R6">
        <v>1</v>
      </c>
      <c r="S6" s="7">
        <v>1.194</v>
      </c>
      <c r="T6" s="7">
        <v>3.391</v>
      </c>
      <c r="U6" s="7">
        <v>3.887</v>
      </c>
      <c r="V6" s="7">
        <v>3</v>
      </c>
      <c r="W6" s="10">
        <v>1</v>
      </c>
      <c r="X6">
        <v>1.5640000000000001</v>
      </c>
      <c r="Y6">
        <v>3.464</v>
      </c>
      <c r="Z6">
        <v>4.3310000000000004</v>
      </c>
      <c r="AA6">
        <v>3</v>
      </c>
      <c r="AB6">
        <v>1</v>
      </c>
      <c r="AC6" s="10">
        <v>0.61399999999999999</v>
      </c>
      <c r="AD6" s="10">
        <v>3.5219999999999998</v>
      </c>
      <c r="AE6" s="10">
        <v>3.96</v>
      </c>
      <c r="AF6" s="10">
        <v>3</v>
      </c>
      <c r="AG6" s="10">
        <v>1</v>
      </c>
      <c r="AH6">
        <v>0.92200000000000004</v>
      </c>
      <c r="AI6">
        <v>1.446</v>
      </c>
      <c r="AJ6">
        <v>2.1520000000000001</v>
      </c>
      <c r="AK6">
        <v>2</v>
      </c>
      <c r="AL6">
        <v>1</v>
      </c>
      <c r="AM6" s="10">
        <v>1.004</v>
      </c>
      <c r="AN6" s="10">
        <v>2.2170000000000001</v>
      </c>
      <c r="AO6" s="10">
        <v>2.6789999999999998</v>
      </c>
      <c r="AP6" s="10">
        <v>3</v>
      </c>
      <c r="AQ6" s="10">
        <v>1</v>
      </c>
      <c r="AR6">
        <v>1.0249999999999999</v>
      </c>
      <c r="AS6">
        <v>2.198</v>
      </c>
      <c r="AT6">
        <v>2.75</v>
      </c>
      <c r="AU6">
        <v>3</v>
      </c>
      <c r="AV6">
        <v>1</v>
      </c>
    </row>
    <row r="7" spans="1:48" x14ac:dyDescent="0.2">
      <c r="A7" t="s">
        <v>11</v>
      </c>
      <c r="B7" t="s">
        <v>12</v>
      </c>
      <c r="C7">
        <v>4050168</v>
      </c>
      <c r="D7">
        <v>132</v>
      </c>
      <c r="E7">
        <v>43.74</v>
      </c>
      <c r="F7">
        <v>44.572000000000003</v>
      </c>
      <c r="G7">
        <v>59.219000000000001</v>
      </c>
      <c r="H7">
        <v>2</v>
      </c>
      <c r="I7" s="6">
        <v>1.583</v>
      </c>
      <c r="J7" s="6">
        <v>1.583</v>
      </c>
      <c r="K7" s="6">
        <v>2.6320000000000001</v>
      </c>
      <c r="L7" s="6">
        <v>1</v>
      </c>
      <c r="M7" s="6">
        <v>1</v>
      </c>
      <c r="N7">
        <v>3.1480000000000001</v>
      </c>
      <c r="O7">
        <v>3.1480000000000001</v>
      </c>
      <c r="P7">
        <v>3.9729999999999999</v>
      </c>
      <c r="Q7">
        <v>1</v>
      </c>
      <c r="R7">
        <v>1</v>
      </c>
      <c r="S7" s="7">
        <v>1.4219999999999999</v>
      </c>
      <c r="T7" s="7">
        <v>1.4219999999999999</v>
      </c>
      <c r="U7" s="7">
        <v>2.5019999999999998</v>
      </c>
      <c r="V7" s="7">
        <v>1</v>
      </c>
      <c r="W7" s="10">
        <v>1</v>
      </c>
      <c r="X7">
        <v>5.9539999999999997</v>
      </c>
      <c r="Y7">
        <v>5.9539999999999997</v>
      </c>
      <c r="Z7">
        <v>7.5460000000000003</v>
      </c>
      <c r="AA7">
        <v>1</v>
      </c>
      <c r="AB7">
        <v>1</v>
      </c>
      <c r="AC7" s="10">
        <v>1.2010000000000001</v>
      </c>
      <c r="AD7" s="10">
        <v>1.2010000000000001</v>
      </c>
      <c r="AE7" s="10">
        <v>1.986</v>
      </c>
      <c r="AF7" s="10">
        <v>1</v>
      </c>
      <c r="AG7" s="10">
        <v>1</v>
      </c>
      <c r="AH7">
        <v>1.149</v>
      </c>
      <c r="AI7">
        <v>1.149</v>
      </c>
      <c r="AJ7">
        <v>2.242</v>
      </c>
      <c r="AK7">
        <v>1</v>
      </c>
      <c r="AL7">
        <v>1</v>
      </c>
      <c r="AM7" s="10">
        <v>1.0820000000000001</v>
      </c>
      <c r="AN7" s="10">
        <v>1.0820000000000001</v>
      </c>
      <c r="AO7" s="10">
        <v>1.8160000000000001</v>
      </c>
      <c r="AP7" s="10">
        <v>1</v>
      </c>
      <c r="AQ7" s="10">
        <v>1</v>
      </c>
      <c r="AR7">
        <v>0.86499999999999999</v>
      </c>
      <c r="AS7">
        <v>0.86499999999999999</v>
      </c>
      <c r="AT7">
        <v>1.954</v>
      </c>
      <c r="AU7">
        <v>1</v>
      </c>
      <c r="AV7">
        <v>1</v>
      </c>
    </row>
    <row r="8" spans="1:48" x14ac:dyDescent="0.2">
      <c r="A8" t="s">
        <v>13</v>
      </c>
      <c r="B8" t="s">
        <v>14</v>
      </c>
      <c r="C8">
        <v>1246822</v>
      </c>
      <c r="D8">
        <v>151</v>
      </c>
      <c r="E8">
        <v>22.634</v>
      </c>
      <c r="F8">
        <v>48.335999999999999</v>
      </c>
      <c r="G8">
        <v>58.956000000000003</v>
      </c>
      <c r="H8">
        <v>4</v>
      </c>
      <c r="I8" s="6">
        <v>1.9730000000000001</v>
      </c>
      <c r="J8" s="6">
        <v>1.9730000000000001</v>
      </c>
      <c r="K8" s="6">
        <v>3.0470000000000002</v>
      </c>
      <c r="L8" s="6">
        <v>1</v>
      </c>
      <c r="M8" s="6">
        <v>1</v>
      </c>
      <c r="N8">
        <v>7.22</v>
      </c>
      <c r="O8">
        <v>7.3959999999999999</v>
      </c>
      <c r="P8">
        <v>7.984</v>
      </c>
      <c r="Q8">
        <v>2</v>
      </c>
      <c r="R8">
        <v>1</v>
      </c>
      <c r="S8" s="7">
        <v>5.4169999999999998</v>
      </c>
      <c r="T8" s="7">
        <v>5.4169999999999998</v>
      </c>
      <c r="U8" s="7">
        <v>5.968</v>
      </c>
      <c r="V8" s="7">
        <v>1</v>
      </c>
      <c r="W8" s="10">
        <v>1</v>
      </c>
      <c r="X8">
        <v>13.532</v>
      </c>
      <c r="Y8">
        <v>13.532</v>
      </c>
      <c r="Z8">
        <v>14.326000000000001</v>
      </c>
      <c r="AA8">
        <v>1</v>
      </c>
      <c r="AB8">
        <v>1</v>
      </c>
      <c r="AC8" s="10">
        <v>4.032</v>
      </c>
      <c r="AD8" s="10">
        <v>4.032</v>
      </c>
      <c r="AE8" s="10">
        <v>4.5010000000000003</v>
      </c>
      <c r="AF8" s="10">
        <v>1</v>
      </c>
      <c r="AG8" s="10">
        <v>1</v>
      </c>
      <c r="AH8">
        <v>1.0900000000000001</v>
      </c>
      <c r="AI8">
        <v>1.0900000000000001</v>
      </c>
      <c r="AJ8">
        <v>1.8420000000000001</v>
      </c>
      <c r="AK8">
        <v>1</v>
      </c>
      <c r="AL8">
        <v>1</v>
      </c>
      <c r="AM8" s="10">
        <v>6.2619999999999996</v>
      </c>
      <c r="AN8" s="10">
        <v>6.5410000000000004</v>
      </c>
      <c r="AO8" s="10">
        <v>7.1859999999999999</v>
      </c>
      <c r="AP8" s="10">
        <v>2</v>
      </c>
      <c r="AQ8" s="10">
        <v>1</v>
      </c>
      <c r="AR8">
        <v>0.85699999999999998</v>
      </c>
      <c r="AS8">
        <v>0.85699999999999998</v>
      </c>
      <c r="AT8">
        <v>1.5509999999999999</v>
      </c>
      <c r="AU8">
        <v>1</v>
      </c>
      <c r="AV8">
        <v>1</v>
      </c>
    </row>
    <row r="9" spans="1:48" x14ac:dyDescent="0.2">
      <c r="A9" t="s">
        <v>15</v>
      </c>
      <c r="B9" t="s">
        <v>16</v>
      </c>
      <c r="C9">
        <v>2440457</v>
      </c>
      <c r="D9">
        <v>120</v>
      </c>
      <c r="E9">
        <v>58.905999999999999</v>
      </c>
      <c r="F9">
        <v>58.905999999999999</v>
      </c>
      <c r="G9">
        <v>59.125</v>
      </c>
      <c r="H9">
        <v>1</v>
      </c>
      <c r="I9" s="6">
        <v>0.624</v>
      </c>
      <c r="J9" s="6">
        <v>0.624</v>
      </c>
      <c r="K9" s="6">
        <v>1.2310000000000001</v>
      </c>
      <c r="L9" s="6">
        <v>1</v>
      </c>
      <c r="M9" s="6">
        <v>1</v>
      </c>
      <c r="N9">
        <v>1.7749999999999999</v>
      </c>
      <c r="O9">
        <v>1.7749999999999999</v>
      </c>
      <c r="P9">
        <v>2.63</v>
      </c>
      <c r="Q9">
        <v>1</v>
      </c>
      <c r="R9">
        <v>1</v>
      </c>
      <c r="S9" s="7">
        <v>1.7210000000000001</v>
      </c>
      <c r="T9" s="7">
        <v>1.7210000000000001</v>
      </c>
      <c r="U9" s="7">
        <v>2.218</v>
      </c>
      <c r="V9" s="7">
        <v>1</v>
      </c>
      <c r="W9" s="10">
        <v>1</v>
      </c>
      <c r="X9">
        <v>1.3029999999999999</v>
      </c>
      <c r="Y9">
        <v>1.3029999999999999</v>
      </c>
      <c r="Z9">
        <v>2.2229999999999999</v>
      </c>
      <c r="AA9">
        <v>1</v>
      </c>
      <c r="AB9">
        <v>1</v>
      </c>
      <c r="AC9" s="10">
        <v>1.05</v>
      </c>
      <c r="AD9" s="10">
        <v>1.05</v>
      </c>
      <c r="AE9" s="10">
        <v>2.9249999999999998</v>
      </c>
      <c r="AF9" s="10">
        <v>1</v>
      </c>
      <c r="AG9" s="10">
        <v>1</v>
      </c>
      <c r="AH9">
        <v>1.2589999999999999</v>
      </c>
      <c r="AI9">
        <v>1.907</v>
      </c>
      <c r="AJ9">
        <v>2.266</v>
      </c>
      <c r="AK9">
        <v>2</v>
      </c>
      <c r="AL9">
        <v>1</v>
      </c>
      <c r="AM9" s="10">
        <v>1.331</v>
      </c>
      <c r="AN9" s="10">
        <v>1.7130000000000001</v>
      </c>
      <c r="AO9" s="10">
        <v>1.925</v>
      </c>
      <c r="AP9" s="10">
        <v>2</v>
      </c>
      <c r="AQ9" s="10">
        <v>1</v>
      </c>
      <c r="AR9">
        <v>0.98499999999999999</v>
      </c>
      <c r="AS9">
        <v>0.98499999999999999</v>
      </c>
      <c r="AT9">
        <v>2.004</v>
      </c>
      <c r="AU9">
        <v>1</v>
      </c>
      <c r="AV9">
        <v>1</v>
      </c>
    </row>
    <row r="10" spans="1:48" x14ac:dyDescent="0.2">
      <c r="A10" t="s">
        <v>17</v>
      </c>
      <c r="B10" t="s">
        <v>18</v>
      </c>
      <c r="C10">
        <v>7860820</v>
      </c>
      <c r="D10">
        <v>126</v>
      </c>
      <c r="E10">
        <v>0</v>
      </c>
      <c r="F10">
        <v>0</v>
      </c>
      <c r="G10">
        <v>59.055999999999997</v>
      </c>
      <c r="H10">
        <v>0</v>
      </c>
      <c r="I10" s="6">
        <v>1.5669999999999999</v>
      </c>
      <c r="J10" s="6">
        <v>1.5669999999999999</v>
      </c>
      <c r="K10" s="6">
        <v>2.3029999999999999</v>
      </c>
      <c r="L10" s="6">
        <v>1</v>
      </c>
      <c r="M10" s="6">
        <v>1</v>
      </c>
      <c r="N10">
        <v>2.8780000000000001</v>
      </c>
      <c r="O10">
        <v>5.65</v>
      </c>
      <c r="P10">
        <v>6.3049999999999997</v>
      </c>
      <c r="Q10">
        <v>3</v>
      </c>
      <c r="R10">
        <v>1</v>
      </c>
      <c r="S10" s="7">
        <v>1.857</v>
      </c>
      <c r="T10" s="7">
        <v>4.2350000000000003</v>
      </c>
      <c r="U10" s="7">
        <v>4.4980000000000002</v>
      </c>
      <c r="V10" s="7">
        <v>4</v>
      </c>
      <c r="W10" s="10">
        <v>1</v>
      </c>
      <c r="X10">
        <v>2.0419999999999998</v>
      </c>
      <c r="Y10">
        <v>2.0419999999999998</v>
      </c>
      <c r="Z10">
        <v>2.87</v>
      </c>
      <c r="AA10">
        <v>1</v>
      </c>
      <c r="AB10">
        <v>1</v>
      </c>
      <c r="AC10" s="10">
        <v>1.03</v>
      </c>
      <c r="AD10" s="10">
        <v>1.03</v>
      </c>
      <c r="AE10" s="10">
        <v>1.9850000000000001</v>
      </c>
      <c r="AF10" s="10">
        <v>1</v>
      </c>
      <c r="AG10" s="10">
        <v>1</v>
      </c>
      <c r="AH10">
        <v>1.5569999999999999</v>
      </c>
      <c r="AI10">
        <v>1.5569999999999999</v>
      </c>
      <c r="AJ10">
        <v>2.3039999999999998</v>
      </c>
      <c r="AK10">
        <v>1</v>
      </c>
      <c r="AL10">
        <v>1</v>
      </c>
      <c r="AM10" s="10">
        <v>1.0820000000000001</v>
      </c>
      <c r="AN10" s="10">
        <v>2.915</v>
      </c>
      <c r="AO10" s="10">
        <v>3.5790000000000002</v>
      </c>
      <c r="AP10" s="10">
        <v>3</v>
      </c>
      <c r="AQ10" s="10">
        <v>1</v>
      </c>
      <c r="AR10">
        <v>0.84699999999999998</v>
      </c>
      <c r="AS10">
        <v>0.84699999999999998</v>
      </c>
      <c r="AT10">
        <v>1.7190000000000001</v>
      </c>
      <c r="AU10">
        <v>1</v>
      </c>
      <c r="AV10">
        <v>1</v>
      </c>
    </row>
    <row r="11" spans="1:48" x14ac:dyDescent="0.2">
      <c r="A11" t="s">
        <v>19</v>
      </c>
      <c r="B11" t="s">
        <v>20</v>
      </c>
      <c r="C11">
        <v>5671099</v>
      </c>
      <c r="D11">
        <v>202</v>
      </c>
      <c r="E11">
        <v>0</v>
      </c>
      <c r="F11">
        <v>0</v>
      </c>
      <c r="G11">
        <v>59.442999999999998</v>
      </c>
      <c r="H11">
        <v>0</v>
      </c>
      <c r="I11" s="6">
        <v>5.2830000000000004</v>
      </c>
      <c r="J11" s="6">
        <v>5.2830000000000004</v>
      </c>
      <c r="K11" s="6">
        <v>8.0719999999999992</v>
      </c>
      <c r="L11" s="6">
        <v>1</v>
      </c>
      <c r="M11" s="6">
        <v>1</v>
      </c>
      <c r="N11">
        <v>2.7829999999999999</v>
      </c>
      <c r="O11">
        <v>2.7829999999999999</v>
      </c>
      <c r="P11">
        <v>5.0389999999999997</v>
      </c>
      <c r="Q11">
        <v>1</v>
      </c>
      <c r="R11">
        <v>0</v>
      </c>
      <c r="S11" s="7">
        <v>9.0310000000000006</v>
      </c>
      <c r="T11" s="7">
        <v>9.0310000000000006</v>
      </c>
      <c r="U11" s="7">
        <v>10.77</v>
      </c>
      <c r="V11" s="7">
        <v>1</v>
      </c>
      <c r="W11" s="10">
        <v>0</v>
      </c>
      <c r="X11">
        <v>2</v>
      </c>
      <c r="Y11">
        <v>2</v>
      </c>
      <c r="Z11">
        <v>3.754</v>
      </c>
      <c r="AA11">
        <v>1</v>
      </c>
      <c r="AB11">
        <v>0</v>
      </c>
      <c r="AC11" s="10">
        <v>1.173</v>
      </c>
      <c r="AD11" s="10">
        <v>1.173</v>
      </c>
      <c r="AE11" s="10">
        <v>2.44</v>
      </c>
      <c r="AF11" s="10">
        <v>1</v>
      </c>
      <c r="AG11" s="10">
        <v>1</v>
      </c>
      <c r="AH11">
        <v>1.478</v>
      </c>
      <c r="AI11">
        <v>1.478</v>
      </c>
      <c r="AJ11">
        <v>2.7269999999999999</v>
      </c>
      <c r="AK11">
        <v>1</v>
      </c>
      <c r="AL11">
        <v>1</v>
      </c>
      <c r="AM11" s="10">
        <v>1.4970000000000001</v>
      </c>
      <c r="AN11" s="10">
        <v>1.4970000000000001</v>
      </c>
      <c r="AO11" s="10">
        <v>3.2109999999999999</v>
      </c>
      <c r="AP11" s="10">
        <v>1</v>
      </c>
      <c r="AQ11" s="10">
        <v>0</v>
      </c>
      <c r="AR11">
        <v>3.4630000000000001</v>
      </c>
      <c r="AS11">
        <v>3.4630000000000001</v>
      </c>
      <c r="AT11">
        <v>4.673</v>
      </c>
      <c r="AU11">
        <v>1</v>
      </c>
      <c r="AV11">
        <v>1</v>
      </c>
    </row>
    <row r="12" spans="1:48" x14ac:dyDescent="0.2">
      <c r="A12" t="s">
        <v>21</v>
      </c>
      <c r="B12" t="s">
        <v>22</v>
      </c>
      <c r="C12">
        <v>2453575</v>
      </c>
      <c r="D12">
        <v>113</v>
      </c>
      <c r="E12">
        <v>57.527999999999999</v>
      </c>
      <c r="F12">
        <v>57.527999999999999</v>
      </c>
      <c r="G12">
        <v>58.997</v>
      </c>
      <c r="H12">
        <v>1</v>
      </c>
      <c r="I12" s="6">
        <v>0.72599999999999998</v>
      </c>
      <c r="J12" s="6">
        <v>0.72599999999999998</v>
      </c>
      <c r="K12" s="6">
        <v>1.4630000000000001</v>
      </c>
      <c r="L12" s="6">
        <v>1</v>
      </c>
      <c r="M12" s="6">
        <v>1</v>
      </c>
      <c r="N12">
        <v>2.3929999999999998</v>
      </c>
      <c r="O12">
        <v>3.18</v>
      </c>
      <c r="P12">
        <v>3.4249999999999998</v>
      </c>
      <c r="Q12">
        <v>2</v>
      </c>
      <c r="R12">
        <v>1</v>
      </c>
      <c r="S12" s="7">
        <v>0.51900000000000002</v>
      </c>
      <c r="T12" s="7">
        <v>1.71</v>
      </c>
      <c r="U12" s="7">
        <v>2.3849999999999998</v>
      </c>
      <c r="V12" s="7">
        <v>3</v>
      </c>
      <c r="W12" s="10">
        <v>1</v>
      </c>
      <c r="X12">
        <v>2.5030000000000001</v>
      </c>
      <c r="Y12">
        <v>2.5030000000000001</v>
      </c>
      <c r="Z12">
        <v>3.25</v>
      </c>
      <c r="AA12">
        <v>1</v>
      </c>
      <c r="AB12">
        <v>1</v>
      </c>
      <c r="AC12" s="10">
        <v>0.437</v>
      </c>
      <c r="AD12" s="10">
        <v>0.437</v>
      </c>
      <c r="AE12" s="10">
        <v>0.97399999999999998</v>
      </c>
      <c r="AF12" s="10">
        <v>1</v>
      </c>
      <c r="AG12" s="10">
        <v>1</v>
      </c>
      <c r="AH12">
        <v>0.499</v>
      </c>
      <c r="AI12">
        <v>1.0129999999999999</v>
      </c>
      <c r="AJ12">
        <v>1.3480000000000001</v>
      </c>
      <c r="AK12">
        <v>2</v>
      </c>
      <c r="AL12">
        <v>1</v>
      </c>
      <c r="AM12" s="10">
        <v>0.59099999999999997</v>
      </c>
      <c r="AN12" s="10">
        <v>1.105</v>
      </c>
      <c r="AO12" s="10">
        <v>1.327</v>
      </c>
      <c r="AP12" s="10">
        <v>2</v>
      </c>
      <c r="AQ12" s="10">
        <v>1</v>
      </c>
      <c r="AR12">
        <v>0.44800000000000001</v>
      </c>
      <c r="AS12">
        <v>0.44800000000000001</v>
      </c>
      <c r="AT12">
        <v>0.96499999999999997</v>
      </c>
      <c r="AU12">
        <v>1</v>
      </c>
      <c r="AV12">
        <v>1</v>
      </c>
    </row>
    <row r="13" spans="1:48" x14ac:dyDescent="0.2">
      <c r="A13" t="s">
        <v>23</v>
      </c>
      <c r="B13" t="s">
        <v>24</v>
      </c>
      <c r="C13">
        <v>6513764</v>
      </c>
      <c r="D13">
        <v>152</v>
      </c>
      <c r="E13">
        <v>0</v>
      </c>
      <c r="F13">
        <v>0</v>
      </c>
      <c r="G13">
        <v>58.936999999999998</v>
      </c>
      <c r="H13">
        <v>0</v>
      </c>
      <c r="I13" s="6">
        <v>6.6449999999999996</v>
      </c>
      <c r="J13" s="6">
        <v>6.6449999999999996</v>
      </c>
      <c r="K13" s="6">
        <v>8.0869999999999997</v>
      </c>
      <c r="L13" s="6">
        <v>1</v>
      </c>
      <c r="M13" s="6">
        <v>1</v>
      </c>
      <c r="N13">
        <v>2.762</v>
      </c>
      <c r="O13">
        <v>2.762</v>
      </c>
      <c r="P13">
        <v>4.5369999999999999</v>
      </c>
      <c r="Q13">
        <v>1</v>
      </c>
      <c r="R13">
        <v>1</v>
      </c>
      <c r="S13" s="7">
        <v>4.2240000000000002</v>
      </c>
      <c r="T13" s="7">
        <v>4.2240000000000002</v>
      </c>
      <c r="U13" s="7">
        <v>5.3070000000000004</v>
      </c>
      <c r="V13" s="7">
        <v>1</v>
      </c>
      <c r="W13" s="10">
        <v>1</v>
      </c>
      <c r="X13">
        <v>5.0270000000000001</v>
      </c>
      <c r="Y13">
        <v>5.0270000000000001</v>
      </c>
      <c r="Z13">
        <v>6.3179999999999996</v>
      </c>
      <c r="AA13">
        <v>1</v>
      </c>
      <c r="AB13">
        <v>0</v>
      </c>
      <c r="AC13" s="10">
        <v>1.706</v>
      </c>
      <c r="AD13" s="10">
        <v>1.706</v>
      </c>
      <c r="AE13" s="10">
        <v>3.8370000000000002</v>
      </c>
      <c r="AF13" s="10">
        <v>1</v>
      </c>
      <c r="AG13" s="10">
        <v>1</v>
      </c>
      <c r="AH13">
        <v>1.3919999999999999</v>
      </c>
      <c r="AI13">
        <v>1.3919999999999999</v>
      </c>
      <c r="AJ13">
        <v>2.5179999999999998</v>
      </c>
      <c r="AK13">
        <v>1</v>
      </c>
      <c r="AL13">
        <v>1</v>
      </c>
      <c r="AM13" s="10">
        <v>1.7</v>
      </c>
      <c r="AN13" s="10">
        <v>2.5259999999999998</v>
      </c>
      <c r="AO13" s="10">
        <v>3.2149999999999999</v>
      </c>
      <c r="AP13" s="10">
        <v>2</v>
      </c>
      <c r="AQ13" s="10">
        <v>0</v>
      </c>
      <c r="AR13">
        <v>0.878</v>
      </c>
      <c r="AS13">
        <v>0.878</v>
      </c>
      <c r="AT13">
        <v>2.573</v>
      </c>
      <c r="AU13">
        <v>1</v>
      </c>
      <c r="AV13">
        <v>1</v>
      </c>
    </row>
    <row r="14" spans="1:48" x14ac:dyDescent="0.2">
      <c r="A14" t="s">
        <v>25</v>
      </c>
      <c r="B14" t="s">
        <v>26</v>
      </c>
      <c r="C14">
        <v>9775108</v>
      </c>
      <c r="D14">
        <v>145</v>
      </c>
      <c r="E14">
        <v>44.664000000000001</v>
      </c>
      <c r="F14">
        <v>54.176000000000002</v>
      </c>
      <c r="G14">
        <v>58.895000000000003</v>
      </c>
      <c r="H14">
        <v>2</v>
      </c>
      <c r="I14" s="6">
        <v>1.1080000000000001</v>
      </c>
      <c r="J14" s="6">
        <v>1.1080000000000001</v>
      </c>
      <c r="K14" s="6">
        <v>1.897</v>
      </c>
      <c r="L14" s="6">
        <v>1</v>
      </c>
      <c r="M14" s="6">
        <v>1</v>
      </c>
      <c r="N14">
        <v>2.7909999999999999</v>
      </c>
      <c r="O14">
        <v>2.7909999999999999</v>
      </c>
      <c r="P14">
        <v>4.0739999999999998</v>
      </c>
      <c r="Q14">
        <v>1</v>
      </c>
      <c r="R14">
        <v>1</v>
      </c>
      <c r="S14" s="7">
        <v>3.6339999999999999</v>
      </c>
      <c r="T14" s="7">
        <v>3.6339999999999999</v>
      </c>
      <c r="U14" s="7">
        <v>4.343</v>
      </c>
      <c r="V14" s="7">
        <v>1</v>
      </c>
      <c r="W14" s="10">
        <v>1</v>
      </c>
      <c r="X14">
        <v>3.004</v>
      </c>
      <c r="Y14">
        <v>3.004</v>
      </c>
      <c r="Z14">
        <v>5.0679999999999996</v>
      </c>
      <c r="AA14">
        <v>1</v>
      </c>
      <c r="AB14">
        <v>1</v>
      </c>
      <c r="AC14" s="10">
        <v>0.875</v>
      </c>
      <c r="AD14" s="10">
        <v>0.875</v>
      </c>
      <c r="AE14" s="10">
        <v>1.415</v>
      </c>
      <c r="AF14" s="10">
        <v>1</v>
      </c>
      <c r="AG14" s="10">
        <v>1</v>
      </c>
      <c r="AH14">
        <v>0.60399999999999998</v>
      </c>
      <c r="AI14">
        <v>0.60399999999999998</v>
      </c>
      <c r="AJ14">
        <v>1.2829999999999999</v>
      </c>
      <c r="AK14">
        <v>1</v>
      </c>
      <c r="AL14">
        <v>1</v>
      </c>
      <c r="AM14" s="10">
        <v>0.61199999999999999</v>
      </c>
      <c r="AN14" s="10">
        <v>0.61199999999999999</v>
      </c>
      <c r="AO14" s="10">
        <v>1.264</v>
      </c>
      <c r="AP14" s="10">
        <v>1</v>
      </c>
      <c r="AQ14" s="10">
        <v>1</v>
      </c>
      <c r="AR14">
        <v>0.58399999999999996</v>
      </c>
      <c r="AS14">
        <v>0.58399999999999996</v>
      </c>
      <c r="AT14">
        <v>1.2869999999999999</v>
      </c>
      <c r="AU14">
        <v>1</v>
      </c>
      <c r="AV14">
        <v>1</v>
      </c>
    </row>
    <row r="15" spans="1:48" x14ac:dyDescent="0.2">
      <c r="A15" t="s">
        <v>27</v>
      </c>
      <c r="B15" t="s">
        <v>28</v>
      </c>
      <c r="C15">
        <v>2499287</v>
      </c>
      <c r="D15">
        <v>163</v>
      </c>
      <c r="E15">
        <v>2.78</v>
      </c>
      <c r="F15">
        <v>61.195999999999998</v>
      </c>
      <c r="G15">
        <v>62.070999999999998</v>
      </c>
      <c r="H15">
        <v>4</v>
      </c>
      <c r="I15" s="6">
        <v>1.3919999999999999</v>
      </c>
      <c r="J15" s="6">
        <v>3.1539999999999999</v>
      </c>
      <c r="K15" s="6">
        <v>4.2320000000000002</v>
      </c>
      <c r="L15" s="6">
        <v>3</v>
      </c>
      <c r="M15" s="6">
        <v>1</v>
      </c>
      <c r="N15">
        <v>3.1320000000000001</v>
      </c>
      <c r="O15">
        <v>6.67</v>
      </c>
      <c r="P15">
        <v>7.9459999999999997</v>
      </c>
      <c r="Q15">
        <v>2</v>
      </c>
      <c r="R15">
        <v>0</v>
      </c>
      <c r="S15" s="7">
        <v>0.76200000000000001</v>
      </c>
      <c r="T15" s="7">
        <v>2.4620000000000002</v>
      </c>
      <c r="U15" s="7">
        <v>2.95</v>
      </c>
      <c r="V15" s="7">
        <v>3</v>
      </c>
      <c r="W15" s="10">
        <v>1</v>
      </c>
      <c r="X15">
        <v>0.61399999999999999</v>
      </c>
      <c r="Y15">
        <v>1.6819999999999999</v>
      </c>
      <c r="Z15">
        <v>2.8050000000000002</v>
      </c>
      <c r="AA15">
        <v>2</v>
      </c>
      <c r="AB15">
        <v>0</v>
      </c>
      <c r="AC15" s="10">
        <v>0.61699999999999999</v>
      </c>
      <c r="AD15" s="10">
        <v>7.9710000000000001</v>
      </c>
      <c r="AE15" s="10">
        <v>8.9410000000000007</v>
      </c>
      <c r="AF15" s="10">
        <v>5</v>
      </c>
      <c r="AG15" s="10">
        <v>1</v>
      </c>
      <c r="AH15">
        <v>0.78600000000000003</v>
      </c>
      <c r="AI15">
        <v>5.7779999999999996</v>
      </c>
      <c r="AJ15">
        <v>6.8959999999999999</v>
      </c>
      <c r="AK15">
        <v>5</v>
      </c>
      <c r="AL15">
        <v>0</v>
      </c>
      <c r="AM15" s="10">
        <v>0.81499999999999995</v>
      </c>
      <c r="AN15" s="10">
        <v>2.2400000000000002</v>
      </c>
      <c r="AO15" s="10">
        <v>3.419</v>
      </c>
      <c r="AP15" s="10">
        <v>2</v>
      </c>
      <c r="AQ15" s="10">
        <v>0</v>
      </c>
      <c r="AR15">
        <v>0.79700000000000004</v>
      </c>
      <c r="AS15">
        <v>7.44</v>
      </c>
      <c r="AT15">
        <v>8.3350000000000009</v>
      </c>
      <c r="AU15">
        <v>5</v>
      </c>
      <c r="AV15">
        <v>0</v>
      </c>
    </row>
    <row r="16" spans="1:48" x14ac:dyDescent="0.2">
      <c r="A16" t="s">
        <v>29</v>
      </c>
      <c r="B16" t="s">
        <v>30</v>
      </c>
      <c r="C16">
        <v>4163</v>
      </c>
      <c r="D16">
        <v>167</v>
      </c>
      <c r="E16">
        <v>0</v>
      </c>
      <c r="F16">
        <v>0</v>
      </c>
      <c r="G16">
        <v>59.780999999999999</v>
      </c>
      <c r="H16">
        <v>0</v>
      </c>
      <c r="I16" s="6">
        <v>1.17</v>
      </c>
      <c r="J16" s="6">
        <v>1.17</v>
      </c>
      <c r="K16" s="6">
        <v>2.0259999999999998</v>
      </c>
      <c r="L16" s="6">
        <v>1</v>
      </c>
      <c r="M16" s="6">
        <v>1</v>
      </c>
      <c r="N16">
        <v>1.655</v>
      </c>
      <c r="O16">
        <v>1.655</v>
      </c>
      <c r="P16">
        <v>2.548</v>
      </c>
      <c r="Q16">
        <v>1</v>
      </c>
      <c r="R16">
        <v>1</v>
      </c>
      <c r="S16" s="7">
        <v>1.4990000000000001</v>
      </c>
      <c r="T16" s="7">
        <v>1.4990000000000001</v>
      </c>
      <c r="U16" s="7">
        <v>2.6160000000000001</v>
      </c>
      <c r="V16" s="7">
        <v>1</v>
      </c>
      <c r="W16" s="10">
        <v>0</v>
      </c>
      <c r="X16">
        <v>2.64</v>
      </c>
      <c r="Y16">
        <v>2.64</v>
      </c>
      <c r="Z16">
        <v>3.6869999999999998</v>
      </c>
      <c r="AA16">
        <v>1</v>
      </c>
      <c r="AB16">
        <v>1</v>
      </c>
      <c r="AC16" s="10">
        <v>1.379</v>
      </c>
      <c r="AD16" s="10">
        <v>1.379</v>
      </c>
      <c r="AE16" s="10">
        <v>2.1619999999999999</v>
      </c>
      <c r="AF16" s="10">
        <v>1</v>
      </c>
      <c r="AG16" s="10">
        <v>1</v>
      </c>
      <c r="AH16">
        <v>1.405</v>
      </c>
      <c r="AI16">
        <v>1.405</v>
      </c>
      <c r="AJ16">
        <v>2.173</v>
      </c>
      <c r="AK16">
        <v>1</v>
      </c>
      <c r="AL16">
        <v>1</v>
      </c>
      <c r="AM16" s="10">
        <v>1.92</v>
      </c>
      <c r="AN16" s="10">
        <v>1.92</v>
      </c>
      <c r="AO16" s="10">
        <v>3.04</v>
      </c>
      <c r="AP16" s="10">
        <v>1</v>
      </c>
      <c r="AQ16" s="10">
        <v>1</v>
      </c>
      <c r="AR16">
        <v>1.3480000000000001</v>
      </c>
      <c r="AS16">
        <v>2.0779999999999998</v>
      </c>
      <c r="AT16">
        <v>2.5649999999999999</v>
      </c>
      <c r="AU16">
        <v>2</v>
      </c>
      <c r="AV16">
        <v>1</v>
      </c>
    </row>
    <row r="17" spans="1:48" x14ac:dyDescent="0.2">
      <c r="A17" t="s">
        <v>31</v>
      </c>
      <c r="B17">
        <v>3464</v>
      </c>
      <c r="C17">
        <v>5216686</v>
      </c>
      <c r="D17">
        <v>182</v>
      </c>
      <c r="E17">
        <v>0</v>
      </c>
      <c r="F17">
        <v>0</v>
      </c>
      <c r="G17">
        <v>59.685000000000002</v>
      </c>
      <c r="H17">
        <v>0</v>
      </c>
      <c r="I17" s="6">
        <v>1.573</v>
      </c>
      <c r="J17" s="6">
        <v>2.907</v>
      </c>
      <c r="K17" s="6">
        <v>3.24</v>
      </c>
      <c r="L17" s="6">
        <v>2</v>
      </c>
      <c r="M17" s="6">
        <v>1</v>
      </c>
      <c r="N17">
        <v>1.2529999999999999</v>
      </c>
      <c r="O17">
        <v>1.2529999999999999</v>
      </c>
      <c r="P17">
        <v>2.1749999999999998</v>
      </c>
      <c r="Q17">
        <v>1</v>
      </c>
      <c r="R17">
        <v>0</v>
      </c>
      <c r="S17" s="7">
        <v>1.036</v>
      </c>
      <c r="T17" s="7">
        <v>1.036</v>
      </c>
      <c r="U17" s="7">
        <v>2.101</v>
      </c>
      <c r="V17" s="7">
        <v>1</v>
      </c>
      <c r="W17" s="10">
        <v>1</v>
      </c>
      <c r="X17">
        <v>1.754</v>
      </c>
      <c r="Y17">
        <v>1.754</v>
      </c>
      <c r="Z17">
        <v>2.9740000000000002</v>
      </c>
      <c r="AA17">
        <v>1</v>
      </c>
      <c r="AB17">
        <v>0</v>
      </c>
      <c r="AC17" s="10">
        <v>1.3779999999999999</v>
      </c>
      <c r="AD17" s="10">
        <v>4.8570000000000002</v>
      </c>
      <c r="AE17" s="10">
        <v>6.1859999999999999</v>
      </c>
      <c r="AF17" s="10">
        <v>3</v>
      </c>
      <c r="AG17" s="10">
        <v>1</v>
      </c>
      <c r="AH17">
        <v>2.9940000000000002</v>
      </c>
      <c r="AI17">
        <v>4.3079999999999998</v>
      </c>
      <c r="AJ17">
        <v>5.173</v>
      </c>
      <c r="AK17">
        <v>3</v>
      </c>
      <c r="AL17">
        <v>1</v>
      </c>
      <c r="AM17" s="10">
        <v>4.4630000000000001</v>
      </c>
      <c r="AN17" s="10">
        <v>4.4630000000000001</v>
      </c>
      <c r="AO17" s="10">
        <v>5.6230000000000002</v>
      </c>
      <c r="AP17" s="10">
        <v>1</v>
      </c>
      <c r="AQ17" s="10">
        <v>0</v>
      </c>
      <c r="AR17">
        <v>1.4279999999999999</v>
      </c>
      <c r="AS17">
        <v>1.4279999999999999</v>
      </c>
      <c r="AT17">
        <v>2.3420000000000001</v>
      </c>
      <c r="AU17">
        <v>1</v>
      </c>
      <c r="AV17">
        <v>1</v>
      </c>
    </row>
    <row r="18" spans="1:48" x14ac:dyDescent="0.2">
      <c r="A18" t="s">
        <v>32</v>
      </c>
      <c r="B18" t="s">
        <v>33</v>
      </c>
      <c r="C18">
        <v>7459399</v>
      </c>
      <c r="D18">
        <v>151</v>
      </c>
      <c r="E18">
        <v>0</v>
      </c>
      <c r="F18">
        <v>0</v>
      </c>
      <c r="G18">
        <v>59.567999999999998</v>
      </c>
      <c r="H18">
        <v>0</v>
      </c>
      <c r="I18" s="6">
        <v>1.5329999999999999</v>
      </c>
      <c r="J18" s="6">
        <v>1.5329999999999999</v>
      </c>
      <c r="K18" s="6">
        <v>2.6040000000000001</v>
      </c>
      <c r="L18" s="6">
        <v>1</v>
      </c>
      <c r="M18" s="6">
        <v>1</v>
      </c>
      <c r="N18">
        <v>2.3639999999999999</v>
      </c>
      <c r="O18">
        <v>2.3639999999999999</v>
      </c>
      <c r="P18">
        <v>3.323</v>
      </c>
      <c r="Q18">
        <v>1</v>
      </c>
      <c r="R18">
        <v>1</v>
      </c>
      <c r="S18" s="7">
        <v>3.1619999999999999</v>
      </c>
      <c r="T18" s="7">
        <v>3.1619999999999999</v>
      </c>
      <c r="U18" s="7">
        <v>3.9769999999999999</v>
      </c>
      <c r="V18" s="7">
        <v>1</v>
      </c>
      <c r="W18" s="10">
        <v>1</v>
      </c>
      <c r="X18">
        <v>2.4209999999999998</v>
      </c>
      <c r="Y18">
        <v>2.4209999999999998</v>
      </c>
      <c r="Z18">
        <v>4.43</v>
      </c>
      <c r="AA18">
        <v>1</v>
      </c>
      <c r="AB18">
        <v>1</v>
      </c>
      <c r="AC18" s="10">
        <v>3.6779999999999999</v>
      </c>
      <c r="AD18" s="10">
        <v>3.6779999999999999</v>
      </c>
      <c r="AE18" s="10">
        <v>4.5490000000000004</v>
      </c>
      <c r="AF18" s="10">
        <v>1</v>
      </c>
      <c r="AG18" s="10">
        <v>1</v>
      </c>
      <c r="AH18">
        <v>3.2320000000000002</v>
      </c>
      <c r="AI18">
        <v>3.2320000000000002</v>
      </c>
      <c r="AJ18">
        <v>4.1909999999999998</v>
      </c>
      <c r="AK18">
        <v>1</v>
      </c>
      <c r="AL18">
        <v>1</v>
      </c>
      <c r="AM18" s="10">
        <v>1.5780000000000001</v>
      </c>
      <c r="AN18" s="10">
        <v>1.5780000000000001</v>
      </c>
      <c r="AO18" s="10">
        <v>2.512</v>
      </c>
      <c r="AP18" s="10">
        <v>1</v>
      </c>
      <c r="AQ18" s="10">
        <v>1</v>
      </c>
      <c r="AR18">
        <v>1.542</v>
      </c>
      <c r="AS18">
        <v>1.542</v>
      </c>
      <c r="AT18">
        <v>2.677</v>
      </c>
      <c r="AU18">
        <v>1</v>
      </c>
      <c r="AV18">
        <v>1</v>
      </c>
    </row>
    <row r="19" spans="1:48" x14ac:dyDescent="0.2">
      <c r="A19" t="s">
        <v>34</v>
      </c>
      <c r="B19" t="s">
        <v>35</v>
      </c>
      <c r="C19">
        <v>5111953</v>
      </c>
      <c r="D19">
        <v>137</v>
      </c>
      <c r="E19">
        <v>0</v>
      </c>
      <c r="F19">
        <v>0</v>
      </c>
      <c r="G19">
        <v>59.838000000000001</v>
      </c>
      <c r="H19">
        <v>0</v>
      </c>
      <c r="I19" s="6">
        <v>4.2320000000000002</v>
      </c>
      <c r="J19" s="6">
        <v>4.2320000000000002</v>
      </c>
      <c r="K19" s="6">
        <v>5.2370000000000001</v>
      </c>
      <c r="L19" s="6">
        <v>1</v>
      </c>
      <c r="M19" s="6">
        <v>1</v>
      </c>
      <c r="N19">
        <v>2.734</v>
      </c>
      <c r="O19">
        <v>2.734</v>
      </c>
      <c r="P19">
        <v>3.8039999999999998</v>
      </c>
      <c r="Q19">
        <v>1</v>
      </c>
      <c r="R19">
        <v>0</v>
      </c>
      <c r="S19" s="7">
        <v>1.5589999999999999</v>
      </c>
      <c r="T19" s="7">
        <v>1.5589999999999999</v>
      </c>
      <c r="U19" s="7">
        <v>2.9649999999999999</v>
      </c>
      <c r="V19" s="7">
        <v>1</v>
      </c>
      <c r="W19" s="10">
        <v>1</v>
      </c>
      <c r="X19">
        <v>2.7450000000000001</v>
      </c>
      <c r="Y19">
        <v>2.7450000000000001</v>
      </c>
      <c r="Z19">
        <v>3.952</v>
      </c>
      <c r="AA19">
        <v>1</v>
      </c>
      <c r="AB19">
        <v>0</v>
      </c>
      <c r="AC19" s="10">
        <v>2.0329999999999999</v>
      </c>
      <c r="AD19" s="10">
        <v>2.0329999999999999</v>
      </c>
      <c r="AE19" s="10">
        <v>3.302</v>
      </c>
      <c r="AF19" s="10">
        <v>1</v>
      </c>
      <c r="AG19" s="10">
        <v>0</v>
      </c>
      <c r="AH19">
        <v>1.2909999999999999</v>
      </c>
      <c r="AI19">
        <v>1.2909999999999999</v>
      </c>
      <c r="AJ19">
        <v>2.2509999999999999</v>
      </c>
      <c r="AK19">
        <v>1</v>
      </c>
      <c r="AL19">
        <v>1</v>
      </c>
      <c r="AM19" s="10">
        <v>2.17</v>
      </c>
      <c r="AN19" s="10">
        <v>7.0549999999999997</v>
      </c>
      <c r="AO19" s="10">
        <v>9.1170000000000009</v>
      </c>
      <c r="AP19" s="10">
        <v>3</v>
      </c>
      <c r="AQ19" s="10">
        <v>1</v>
      </c>
      <c r="AR19">
        <v>1.706</v>
      </c>
      <c r="AS19">
        <v>1.706</v>
      </c>
      <c r="AT19">
        <v>2.7120000000000002</v>
      </c>
      <c r="AU19">
        <v>1</v>
      </c>
      <c r="AV19">
        <v>1</v>
      </c>
    </row>
    <row r="20" spans="1:48" x14ac:dyDescent="0.2">
      <c r="A20" t="s">
        <v>36</v>
      </c>
      <c r="B20" t="s">
        <v>37</v>
      </c>
      <c r="C20">
        <v>9784710</v>
      </c>
      <c r="D20">
        <v>160</v>
      </c>
      <c r="E20">
        <v>0</v>
      </c>
      <c r="F20">
        <v>0</v>
      </c>
      <c r="G20">
        <v>65.763000000000005</v>
      </c>
      <c r="H20">
        <v>0</v>
      </c>
      <c r="I20" s="6">
        <v>1.196</v>
      </c>
      <c r="J20" s="6">
        <v>1.196</v>
      </c>
      <c r="K20" s="6">
        <v>2.573</v>
      </c>
      <c r="L20" s="6">
        <v>1</v>
      </c>
      <c r="M20" s="6">
        <v>1</v>
      </c>
      <c r="N20">
        <v>2.4020000000000001</v>
      </c>
      <c r="O20">
        <v>4.1130000000000004</v>
      </c>
      <c r="P20">
        <v>4.3029999999999999</v>
      </c>
      <c r="Q20">
        <v>2</v>
      </c>
      <c r="R20">
        <v>0</v>
      </c>
      <c r="S20" s="7">
        <v>2.379</v>
      </c>
      <c r="T20" s="7">
        <v>2.379</v>
      </c>
      <c r="U20" s="7">
        <v>3.302</v>
      </c>
      <c r="V20" s="7">
        <v>1</v>
      </c>
      <c r="W20" s="10">
        <v>0</v>
      </c>
      <c r="X20">
        <v>2.254</v>
      </c>
      <c r="Y20">
        <v>2.254</v>
      </c>
      <c r="Z20">
        <v>3.3010000000000002</v>
      </c>
      <c r="AA20">
        <v>1</v>
      </c>
      <c r="AB20">
        <v>0</v>
      </c>
      <c r="AC20" s="10">
        <v>1.024</v>
      </c>
      <c r="AD20" s="10">
        <v>1.024</v>
      </c>
      <c r="AE20" s="10">
        <v>1.94</v>
      </c>
      <c r="AF20" s="10">
        <v>1</v>
      </c>
      <c r="AG20" s="10">
        <v>1</v>
      </c>
      <c r="AH20">
        <v>1.149</v>
      </c>
      <c r="AI20">
        <v>2.2349999999999999</v>
      </c>
      <c r="AJ20">
        <v>2.7149999999999999</v>
      </c>
      <c r="AK20">
        <v>2</v>
      </c>
      <c r="AL20">
        <v>1</v>
      </c>
      <c r="AM20" s="10">
        <v>1.657</v>
      </c>
      <c r="AN20" s="10">
        <v>1.657</v>
      </c>
      <c r="AO20" s="10">
        <v>2.5009999999999999</v>
      </c>
      <c r="AP20" s="10">
        <v>1</v>
      </c>
      <c r="AQ20" s="10">
        <v>0</v>
      </c>
      <c r="AR20">
        <v>1.085</v>
      </c>
      <c r="AS20">
        <v>1.085</v>
      </c>
      <c r="AT20">
        <v>2.0179999999999998</v>
      </c>
      <c r="AU20">
        <v>1</v>
      </c>
      <c r="AV20">
        <v>1</v>
      </c>
    </row>
    <row r="21" spans="1:48" x14ac:dyDescent="0.2">
      <c r="A21" t="s">
        <v>38</v>
      </c>
      <c r="B21" t="s">
        <v>39</v>
      </c>
      <c r="C21">
        <v>3049416</v>
      </c>
      <c r="D21">
        <v>157</v>
      </c>
      <c r="E21">
        <v>16.974</v>
      </c>
      <c r="F21">
        <v>62.212000000000003</v>
      </c>
      <c r="G21">
        <v>62.723999999999997</v>
      </c>
      <c r="H21">
        <v>4</v>
      </c>
      <c r="I21" s="6">
        <v>0.41799999999999998</v>
      </c>
      <c r="J21" s="6">
        <v>0.82899999999999996</v>
      </c>
      <c r="K21" s="6">
        <v>1.536</v>
      </c>
      <c r="L21" s="6">
        <v>2</v>
      </c>
      <c r="M21" s="6">
        <v>1</v>
      </c>
      <c r="N21">
        <v>0.49099999999999999</v>
      </c>
      <c r="O21">
        <v>3.2440000000000002</v>
      </c>
      <c r="P21">
        <v>3.8250000000000002</v>
      </c>
      <c r="Q21">
        <v>3</v>
      </c>
      <c r="R21">
        <v>1</v>
      </c>
      <c r="S21" s="7">
        <v>0.68700000000000006</v>
      </c>
      <c r="T21" s="7">
        <v>1.6539999999999999</v>
      </c>
      <c r="U21" s="7">
        <v>2.1739999999999999</v>
      </c>
      <c r="V21" s="7">
        <v>3</v>
      </c>
      <c r="W21" s="10">
        <v>1</v>
      </c>
      <c r="X21">
        <v>1.3069999999999999</v>
      </c>
      <c r="Y21">
        <v>2.722</v>
      </c>
      <c r="Z21">
        <v>3.1960000000000002</v>
      </c>
      <c r="AA21">
        <v>3</v>
      </c>
      <c r="AB21">
        <v>1</v>
      </c>
      <c r="AC21" s="10">
        <v>0.312</v>
      </c>
      <c r="AD21" s="10">
        <v>0.622</v>
      </c>
      <c r="AE21" s="10">
        <v>1.2549999999999999</v>
      </c>
      <c r="AF21" s="10">
        <v>2</v>
      </c>
      <c r="AG21" s="10">
        <v>1</v>
      </c>
      <c r="AH21">
        <v>0.38</v>
      </c>
      <c r="AI21">
        <v>0.84599999999999997</v>
      </c>
      <c r="AJ21">
        <v>1.542</v>
      </c>
      <c r="AK21">
        <v>2</v>
      </c>
      <c r="AL21">
        <v>1</v>
      </c>
      <c r="AM21" s="10">
        <v>0.435</v>
      </c>
      <c r="AN21" s="10">
        <v>1.839</v>
      </c>
      <c r="AO21" s="10">
        <v>2.3519999999999999</v>
      </c>
      <c r="AP21" s="10">
        <v>3</v>
      </c>
      <c r="AQ21" s="10">
        <v>1</v>
      </c>
      <c r="AR21">
        <v>0.36699999999999999</v>
      </c>
      <c r="AS21">
        <v>0.82399999999999995</v>
      </c>
      <c r="AT21">
        <v>1.577</v>
      </c>
      <c r="AU21">
        <v>2</v>
      </c>
      <c r="AV21">
        <v>1</v>
      </c>
    </row>
    <row r="22" spans="1:48" x14ac:dyDescent="0.2">
      <c r="A22" t="s">
        <v>40</v>
      </c>
      <c r="B22" t="s">
        <v>41</v>
      </c>
      <c r="C22">
        <v>9624169</v>
      </c>
      <c r="D22">
        <v>244</v>
      </c>
      <c r="E22">
        <v>0</v>
      </c>
      <c r="F22">
        <v>0</v>
      </c>
      <c r="G22">
        <v>137.45500000000001</v>
      </c>
      <c r="H22">
        <v>0</v>
      </c>
      <c r="I22" s="6">
        <v>0.14099999999999999</v>
      </c>
      <c r="J22" s="6">
        <v>0.14099999999999999</v>
      </c>
      <c r="K22" s="6">
        <v>0.79600000000000004</v>
      </c>
      <c r="L22" s="6">
        <v>1</v>
      </c>
      <c r="M22" s="6">
        <v>1</v>
      </c>
      <c r="N22">
        <v>0.67700000000000005</v>
      </c>
      <c r="O22">
        <v>0.67700000000000005</v>
      </c>
      <c r="P22">
        <v>1.899</v>
      </c>
      <c r="Q22">
        <v>1</v>
      </c>
      <c r="R22">
        <v>1</v>
      </c>
      <c r="S22" s="7">
        <v>0.40799999999999997</v>
      </c>
      <c r="T22" s="7">
        <v>0.40799999999999997</v>
      </c>
      <c r="U22" s="7">
        <v>1.262</v>
      </c>
      <c r="V22" s="7">
        <v>1</v>
      </c>
      <c r="W22" s="10">
        <v>1</v>
      </c>
      <c r="X22">
        <v>1.524</v>
      </c>
      <c r="Y22">
        <v>1.524</v>
      </c>
      <c r="Z22">
        <v>2.746</v>
      </c>
      <c r="AA22">
        <v>1</v>
      </c>
      <c r="AB22">
        <v>1</v>
      </c>
      <c r="AC22" s="10">
        <v>1.1919999999999999</v>
      </c>
      <c r="AD22" s="10">
        <v>1.1919999999999999</v>
      </c>
      <c r="AE22" s="10">
        <v>2.0310000000000001</v>
      </c>
      <c r="AF22" s="10">
        <v>1</v>
      </c>
      <c r="AG22" s="10">
        <v>1</v>
      </c>
      <c r="AH22">
        <v>0.79800000000000004</v>
      </c>
      <c r="AI22">
        <v>0.79800000000000004</v>
      </c>
      <c r="AJ22">
        <v>2.044</v>
      </c>
      <c r="AK22">
        <v>1</v>
      </c>
      <c r="AL22">
        <v>1</v>
      </c>
      <c r="AM22" s="10">
        <v>0.23599999999999999</v>
      </c>
      <c r="AN22" s="10">
        <v>0.23599999999999999</v>
      </c>
      <c r="AO22" s="10">
        <v>0.875</v>
      </c>
      <c r="AP22" s="10">
        <v>1</v>
      </c>
      <c r="AQ22" s="10">
        <v>1</v>
      </c>
      <c r="AR22">
        <v>0.71899999999999997</v>
      </c>
      <c r="AS22">
        <v>0.71899999999999997</v>
      </c>
      <c r="AT22">
        <v>1.758</v>
      </c>
      <c r="AU22">
        <v>1</v>
      </c>
      <c r="AV22">
        <v>1</v>
      </c>
    </row>
    <row r="23" spans="1:48" x14ac:dyDescent="0.2">
      <c r="A23" t="s">
        <v>42</v>
      </c>
      <c r="B23" t="s">
        <v>43</v>
      </c>
      <c r="C23">
        <v>4832349</v>
      </c>
      <c r="D23">
        <v>132</v>
      </c>
      <c r="E23">
        <v>0</v>
      </c>
      <c r="F23">
        <v>0</v>
      </c>
      <c r="G23">
        <v>59.069000000000003</v>
      </c>
      <c r="H23">
        <v>0</v>
      </c>
      <c r="I23" s="6">
        <v>2.34</v>
      </c>
      <c r="J23" s="6">
        <v>2.34</v>
      </c>
      <c r="K23" s="6">
        <v>3.169</v>
      </c>
      <c r="L23" s="6">
        <v>1</v>
      </c>
      <c r="M23" s="6">
        <v>1</v>
      </c>
      <c r="N23">
        <v>1.411</v>
      </c>
      <c r="O23">
        <v>1.411</v>
      </c>
      <c r="P23">
        <v>2.351</v>
      </c>
      <c r="Q23">
        <v>1</v>
      </c>
      <c r="R23">
        <v>1</v>
      </c>
      <c r="S23" s="7">
        <v>1.5960000000000001</v>
      </c>
      <c r="T23" s="7">
        <v>1.5960000000000001</v>
      </c>
      <c r="U23" s="7">
        <v>4.2910000000000004</v>
      </c>
      <c r="V23" s="7">
        <v>1</v>
      </c>
      <c r="W23" s="10">
        <v>1</v>
      </c>
      <c r="X23">
        <v>2.7109999999999999</v>
      </c>
      <c r="Y23">
        <v>2.7109999999999999</v>
      </c>
      <c r="Z23">
        <v>3.4950000000000001</v>
      </c>
      <c r="AA23">
        <v>1</v>
      </c>
      <c r="AB23">
        <v>1</v>
      </c>
      <c r="AC23" s="10">
        <v>3.746</v>
      </c>
      <c r="AD23" s="10">
        <v>3.746</v>
      </c>
      <c r="AE23" s="10">
        <v>4.8499999999999996</v>
      </c>
      <c r="AF23" s="10">
        <v>1</v>
      </c>
      <c r="AG23" s="10">
        <v>1</v>
      </c>
      <c r="AH23">
        <v>2.1779999999999999</v>
      </c>
      <c r="AI23">
        <v>2.1779999999999999</v>
      </c>
      <c r="AJ23">
        <v>6.1630000000000003</v>
      </c>
      <c r="AK23">
        <v>1</v>
      </c>
      <c r="AL23">
        <v>1</v>
      </c>
      <c r="AM23" s="10">
        <v>2.5259999999999998</v>
      </c>
      <c r="AN23" s="10">
        <v>2.5259999999999998</v>
      </c>
      <c r="AO23" s="10">
        <v>3.2869999999999999</v>
      </c>
      <c r="AP23" s="10">
        <v>1</v>
      </c>
      <c r="AQ23" s="10">
        <v>1</v>
      </c>
      <c r="AR23">
        <v>2.109</v>
      </c>
      <c r="AS23">
        <v>2.109</v>
      </c>
      <c r="AT23">
        <v>2.819</v>
      </c>
      <c r="AU23">
        <v>1</v>
      </c>
      <c r="AV23">
        <v>1</v>
      </c>
    </row>
    <row r="24" spans="1:48" x14ac:dyDescent="0.2">
      <c r="A24" t="s">
        <v>44</v>
      </c>
      <c r="B24" t="s">
        <v>45</v>
      </c>
      <c r="C24">
        <v>9391593</v>
      </c>
      <c r="D24">
        <v>253</v>
      </c>
      <c r="E24">
        <v>160.441</v>
      </c>
      <c r="F24">
        <v>160.441</v>
      </c>
      <c r="G24">
        <v>167.77</v>
      </c>
      <c r="H24">
        <v>1</v>
      </c>
      <c r="I24" s="6">
        <v>0.64900000000000002</v>
      </c>
      <c r="J24" s="6">
        <v>1.6850000000000001</v>
      </c>
      <c r="K24" s="6">
        <v>1.9490000000000001</v>
      </c>
      <c r="L24" s="6">
        <v>3</v>
      </c>
      <c r="M24" s="6">
        <v>1</v>
      </c>
      <c r="N24">
        <v>0.92700000000000005</v>
      </c>
      <c r="O24">
        <v>1.456</v>
      </c>
      <c r="P24">
        <v>1.706</v>
      </c>
      <c r="Q24">
        <v>2</v>
      </c>
      <c r="R24">
        <v>1</v>
      </c>
      <c r="S24" s="7">
        <v>1.1830000000000001</v>
      </c>
      <c r="T24" s="7">
        <v>1.9650000000000001</v>
      </c>
      <c r="U24" s="7">
        <v>2.2120000000000002</v>
      </c>
      <c r="V24" s="7">
        <v>2</v>
      </c>
      <c r="W24" s="10">
        <v>0</v>
      </c>
      <c r="X24">
        <v>1.3819999999999999</v>
      </c>
      <c r="Y24">
        <v>1.706</v>
      </c>
      <c r="Z24">
        <v>2.5099999999999998</v>
      </c>
      <c r="AA24">
        <v>2</v>
      </c>
      <c r="AB24">
        <v>1</v>
      </c>
      <c r="AC24" s="10">
        <v>0.623</v>
      </c>
      <c r="AD24" s="10">
        <v>0.623</v>
      </c>
      <c r="AE24" s="10">
        <v>1.085</v>
      </c>
      <c r="AF24" s="10">
        <v>1</v>
      </c>
      <c r="AG24" s="10">
        <v>1</v>
      </c>
      <c r="AH24">
        <v>0.81899999999999995</v>
      </c>
      <c r="AI24">
        <v>0.81899999999999995</v>
      </c>
      <c r="AJ24">
        <v>1.5529999999999999</v>
      </c>
      <c r="AK24">
        <v>1</v>
      </c>
      <c r="AL24">
        <v>1</v>
      </c>
      <c r="AM24" s="10">
        <v>0.67700000000000005</v>
      </c>
      <c r="AN24" s="10">
        <v>0.67700000000000005</v>
      </c>
      <c r="AO24" s="10">
        <v>1.0680000000000001</v>
      </c>
      <c r="AP24" s="10">
        <v>1</v>
      </c>
      <c r="AQ24" s="10">
        <v>1</v>
      </c>
      <c r="AR24">
        <v>0.86799999999999999</v>
      </c>
      <c r="AS24">
        <v>2.31</v>
      </c>
      <c r="AT24">
        <v>2.6150000000000002</v>
      </c>
      <c r="AU24">
        <v>2</v>
      </c>
      <c r="AV24">
        <v>1</v>
      </c>
    </row>
    <row r="25" spans="1:48" x14ac:dyDescent="0.2">
      <c r="A25" t="s">
        <v>46</v>
      </c>
      <c r="B25" t="s">
        <v>47</v>
      </c>
      <c r="C25">
        <v>9336682</v>
      </c>
      <c r="D25">
        <v>121</v>
      </c>
      <c r="E25">
        <v>56.2</v>
      </c>
      <c r="F25">
        <v>56.2</v>
      </c>
      <c r="G25">
        <v>59.01</v>
      </c>
      <c r="H25">
        <v>1</v>
      </c>
      <c r="I25" s="6">
        <v>1.034</v>
      </c>
      <c r="J25" s="6">
        <v>1.034</v>
      </c>
      <c r="K25" s="6">
        <v>1.704</v>
      </c>
      <c r="L25" s="6">
        <v>1</v>
      </c>
      <c r="M25" s="6">
        <v>0</v>
      </c>
      <c r="N25">
        <v>0.94</v>
      </c>
      <c r="O25">
        <v>0.94</v>
      </c>
      <c r="P25">
        <v>1.869</v>
      </c>
      <c r="Q25">
        <v>1</v>
      </c>
      <c r="R25">
        <v>0</v>
      </c>
      <c r="S25" s="7">
        <v>0.83599999999999997</v>
      </c>
      <c r="T25" s="7">
        <v>0.83599999999999997</v>
      </c>
      <c r="U25" s="7">
        <v>1.7050000000000001</v>
      </c>
      <c r="V25" s="7">
        <v>1</v>
      </c>
      <c r="W25" s="10">
        <v>1</v>
      </c>
      <c r="X25">
        <v>1.5640000000000001</v>
      </c>
      <c r="Y25">
        <v>1.5640000000000001</v>
      </c>
      <c r="Z25">
        <v>2.7280000000000002</v>
      </c>
      <c r="AA25">
        <v>1</v>
      </c>
      <c r="AB25">
        <v>1</v>
      </c>
      <c r="AC25" s="10">
        <v>1.609</v>
      </c>
      <c r="AD25" s="10">
        <v>1.609</v>
      </c>
      <c r="AE25" s="10">
        <v>2.847</v>
      </c>
      <c r="AF25" s="10">
        <v>1</v>
      </c>
      <c r="AG25" s="10">
        <v>0</v>
      </c>
      <c r="AH25">
        <v>0.61899999999999999</v>
      </c>
      <c r="AI25">
        <v>0.61899999999999999</v>
      </c>
      <c r="AJ25">
        <v>1.492</v>
      </c>
      <c r="AK25">
        <v>1</v>
      </c>
      <c r="AL25">
        <v>1</v>
      </c>
      <c r="AM25" s="10">
        <v>0.75600000000000001</v>
      </c>
      <c r="AN25" s="10">
        <v>0.75600000000000001</v>
      </c>
      <c r="AO25" s="10">
        <v>1.5369999999999999</v>
      </c>
      <c r="AP25" s="10">
        <v>1</v>
      </c>
      <c r="AQ25" s="10">
        <v>1</v>
      </c>
      <c r="AR25">
        <v>1.673</v>
      </c>
      <c r="AS25">
        <v>1.673</v>
      </c>
      <c r="AT25">
        <v>2.6579999999999999</v>
      </c>
      <c r="AU25">
        <v>1</v>
      </c>
      <c r="AV25">
        <v>1</v>
      </c>
    </row>
    <row r="26" spans="1:48" x14ac:dyDescent="0.2">
      <c r="A26" t="s">
        <v>48</v>
      </c>
      <c r="B26" t="s">
        <v>49</v>
      </c>
      <c r="C26">
        <v>6826304</v>
      </c>
      <c r="D26">
        <v>211</v>
      </c>
      <c r="E26">
        <v>33.29</v>
      </c>
      <c r="F26">
        <v>46.237000000000002</v>
      </c>
      <c r="G26">
        <v>60.101999999999997</v>
      </c>
      <c r="H26">
        <v>2</v>
      </c>
      <c r="I26" s="6">
        <v>0.52800000000000002</v>
      </c>
      <c r="J26" s="6">
        <v>3.6139999999999999</v>
      </c>
      <c r="K26" s="6">
        <v>4.7439999999999998</v>
      </c>
      <c r="L26" s="6">
        <v>2</v>
      </c>
      <c r="M26" s="6">
        <v>1</v>
      </c>
      <c r="N26">
        <v>0.51800000000000002</v>
      </c>
      <c r="O26">
        <v>4.5069999999999997</v>
      </c>
      <c r="P26">
        <v>5.6840000000000002</v>
      </c>
      <c r="Q26">
        <v>2</v>
      </c>
      <c r="R26">
        <v>0</v>
      </c>
      <c r="S26" s="7">
        <v>3.4950000000000001</v>
      </c>
      <c r="T26" s="7">
        <v>3.4950000000000001</v>
      </c>
      <c r="U26" s="7">
        <v>4.5359999999999996</v>
      </c>
      <c r="V26" s="7">
        <v>1</v>
      </c>
      <c r="W26" s="10">
        <v>1</v>
      </c>
      <c r="X26">
        <v>1.127</v>
      </c>
      <c r="Y26">
        <v>6.3220000000000001</v>
      </c>
      <c r="Z26">
        <v>7.5860000000000003</v>
      </c>
      <c r="AA26">
        <v>2</v>
      </c>
      <c r="AB26">
        <v>1</v>
      </c>
      <c r="AC26" s="10">
        <v>0.48799999999999999</v>
      </c>
      <c r="AD26" s="10">
        <v>2.0289999999999999</v>
      </c>
      <c r="AE26" s="10">
        <v>3</v>
      </c>
      <c r="AF26" s="10">
        <v>2</v>
      </c>
      <c r="AG26" s="10">
        <v>1</v>
      </c>
      <c r="AH26">
        <v>0.498</v>
      </c>
      <c r="AI26">
        <v>3.8490000000000002</v>
      </c>
      <c r="AJ26">
        <v>4.8010000000000002</v>
      </c>
      <c r="AK26">
        <v>2</v>
      </c>
      <c r="AL26">
        <v>1</v>
      </c>
      <c r="AM26" s="10">
        <v>0.39200000000000002</v>
      </c>
      <c r="AN26" s="10">
        <v>3.823</v>
      </c>
      <c r="AO26" s="10">
        <v>4.7949999999999999</v>
      </c>
      <c r="AP26" s="10">
        <v>3</v>
      </c>
      <c r="AQ26" s="10">
        <v>1</v>
      </c>
      <c r="AR26">
        <v>0.34799999999999998</v>
      </c>
      <c r="AS26">
        <v>3.0049999999999999</v>
      </c>
      <c r="AT26">
        <v>4.09</v>
      </c>
      <c r="AU26">
        <v>2</v>
      </c>
      <c r="AV26">
        <v>1</v>
      </c>
    </row>
    <row r="27" spans="1:48" x14ac:dyDescent="0.2">
      <c r="A27" t="s">
        <v>50</v>
      </c>
      <c r="B27" t="s">
        <v>51</v>
      </c>
      <c r="C27">
        <v>4510331</v>
      </c>
      <c r="D27">
        <v>140</v>
      </c>
      <c r="E27">
        <v>0</v>
      </c>
      <c r="F27">
        <v>0</v>
      </c>
      <c r="G27">
        <v>59.093000000000004</v>
      </c>
      <c r="H27">
        <v>0</v>
      </c>
      <c r="I27" s="6">
        <v>0.79800000000000004</v>
      </c>
      <c r="J27" s="6">
        <v>0.79800000000000004</v>
      </c>
      <c r="K27" s="6">
        <v>1.768</v>
      </c>
      <c r="L27" s="6">
        <v>1</v>
      </c>
      <c r="M27" s="6">
        <v>1</v>
      </c>
      <c r="N27">
        <v>1.647</v>
      </c>
      <c r="O27">
        <v>1.647</v>
      </c>
      <c r="P27">
        <v>2.5449999999999999</v>
      </c>
      <c r="Q27">
        <v>1</v>
      </c>
      <c r="R27">
        <v>1</v>
      </c>
      <c r="S27" s="7">
        <v>3.1219999999999999</v>
      </c>
      <c r="T27" s="7">
        <v>3.1219999999999999</v>
      </c>
      <c r="U27" s="7">
        <v>4.3730000000000002</v>
      </c>
      <c r="V27" s="7">
        <v>1</v>
      </c>
      <c r="W27" s="10">
        <v>1</v>
      </c>
      <c r="X27">
        <v>1.839</v>
      </c>
      <c r="Y27">
        <v>1.839</v>
      </c>
      <c r="Z27">
        <v>2.7210000000000001</v>
      </c>
      <c r="AA27">
        <v>1</v>
      </c>
      <c r="AB27">
        <v>1</v>
      </c>
      <c r="AC27" s="10">
        <v>1.4359999999999999</v>
      </c>
      <c r="AD27" s="10">
        <v>1.4359999999999999</v>
      </c>
      <c r="AE27" s="10">
        <v>2.2949999999999999</v>
      </c>
      <c r="AF27" s="10">
        <v>1</v>
      </c>
      <c r="AG27" s="10">
        <v>1</v>
      </c>
      <c r="AH27">
        <v>1.8069999999999999</v>
      </c>
      <c r="AI27">
        <v>2.617</v>
      </c>
      <c r="AJ27">
        <v>3.456</v>
      </c>
      <c r="AK27">
        <v>2</v>
      </c>
      <c r="AL27">
        <v>1</v>
      </c>
      <c r="AM27" s="10">
        <v>3.5489999999999999</v>
      </c>
      <c r="AN27" s="10">
        <v>3.5489999999999999</v>
      </c>
      <c r="AO27" s="10">
        <v>4.4089999999999998</v>
      </c>
      <c r="AP27" s="10">
        <v>1</v>
      </c>
      <c r="AQ27" s="10">
        <v>1</v>
      </c>
      <c r="AR27">
        <v>0.874</v>
      </c>
      <c r="AS27">
        <v>0.874</v>
      </c>
      <c r="AT27">
        <v>1.78</v>
      </c>
      <c r="AU27">
        <v>1</v>
      </c>
      <c r="AV27">
        <v>1</v>
      </c>
    </row>
    <row r="28" spans="1:48" x14ac:dyDescent="0.2">
      <c r="A28" t="s">
        <v>52</v>
      </c>
      <c r="B28" t="s">
        <v>53</v>
      </c>
      <c r="C28">
        <v>68081</v>
      </c>
      <c r="D28">
        <v>254</v>
      </c>
      <c r="E28">
        <v>0</v>
      </c>
      <c r="F28">
        <v>0</v>
      </c>
      <c r="G28">
        <v>62.365000000000002</v>
      </c>
      <c r="H28">
        <v>0</v>
      </c>
      <c r="I28" s="6">
        <v>1.6890000000000001</v>
      </c>
      <c r="J28" s="6">
        <v>1.6890000000000001</v>
      </c>
      <c r="K28" s="6">
        <v>3.6070000000000002</v>
      </c>
      <c r="L28" s="6">
        <v>1</v>
      </c>
      <c r="M28" s="6">
        <v>1</v>
      </c>
      <c r="N28">
        <v>12.145</v>
      </c>
      <c r="O28">
        <v>19.388999999999999</v>
      </c>
      <c r="P28">
        <v>20.471</v>
      </c>
      <c r="Q28">
        <v>3</v>
      </c>
      <c r="R28">
        <v>0</v>
      </c>
      <c r="S28" s="7">
        <v>7.8710000000000004</v>
      </c>
      <c r="T28" s="7">
        <v>7.8710000000000004</v>
      </c>
      <c r="U28" s="7">
        <v>9.1289999999999996</v>
      </c>
      <c r="V28" s="7">
        <v>1</v>
      </c>
      <c r="W28" s="10">
        <v>0</v>
      </c>
      <c r="X28">
        <v>6.532</v>
      </c>
      <c r="Y28">
        <v>6.532</v>
      </c>
      <c r="Z28">
        <v>10.103999999999999</v>
      </c>
      <c r="AA28">
        <v>1</v>
      </c>
      <c r="AB28">
        <v>0</v>
      </c>
      <c r="AC28" s="10">
        <v>1.288</v>
      </c>
      <c r="AD28" s="10">
        <v>1.288</v>
      </c>
      <c r="AE28" s="10">
        <v>2.7429999999999999</v>
      </c>
      <c r="AF28" s="10">
        <v>1</v>
      </c>
      <c r="AG28" s="10">
        <v>1</v>
      </c>
      <c r="AH28">
        <v>1.4139999999999999</v>
      </c>
      <c r="AI28">
        <v>1.4139999999999999</v>
      </c>
      <c r="AJ28">
        <v>2.9390000000000001</v>
      </c>
      <c r="AK28">
        <v>1</v>
      </c>
      <c r="AL28">
        <v>1</v>
      </c>
      <c r="AM28" s="10">
        <v>1.744</v>
      </c>
      <c r="AN28" s="10">
        <v>1.744</v>
      </c>
      <c r="AO28" s="10">
        <v>2.7269999999999999</v>
      </c>
      <c r="AP28" s="10">
        <v>1</v>
      </c>
      <c r="AQ28" s="10">
        <v>1</v>
      </c>
      <c r="AR28">
        <v>4.0739999999999998</v>
      </c>
      <c r="AS28">
        <v>7.351</v>
      </c>
      <c r="AT28">
        <v>8.4350000000000005</v>
      </c>
      <c r="AU28">
        <v>3</v>
      </c>
      <c r="AV28">
        <v>0</v>
      </c>
    </row>
    <row r="29" spans="1:48" x14ac:dyDescent="0.2">
      <c r="A29" t="s">
        <v>54</v>
      </c>
      <c r="B29" t="s">
        <v>55</v>
      </c>
      <c r="C29">
        <v>9472938</v>
      </c>
      <c r="D29">
        <v>134</v>
      </c>
      <c r="E29">
        <v>0</v>
      </c>
      <c r="F29">
        <v>0</v>
      </c>
      <c r="G29">
        <v>58.9</v>
      </c>
      <c r="H29">
        <v>0</v>
      </c>
      <c r="I29" s="6">
        <v>2.2200000000000002</v>
      </c>
      <c r="J29" s="6">
        <v>2.2200000000000002</v>
      </c>
      <c r="K29" s="6">
        <v>3.145</v>
      </c>
      <c r="L29" s="6">
        <v>1</v>
      </c>
      <c r="M29" s="6">
        <v>1</v>
      </c>
      <c r="N29">
        <v>1.583</v>
      </c>
      <c r="O29">
        <v>1.583</v>
      </c>
      <c r="P29">
        <v>2.5510000000000002</v>
      </c>
      <c r="Q29">
        <v>1</v>
      </c>
      <c r="R29">
        <v>1</v>
      </c>
      <c r="S29" s="7">
        <v>0.997</v>
      </c>
      <c r="T29" s="7">
        <v>0.997</v>
      </c>
      <c r="U29" s="7">
        <v>2.0550000000000002</v>
      </c>
      <c r="V29" s="7">
        <v>1</v>
      </c>
      <c r="W29" s="10">
        <v>1</v>
      </c>
      <c r="X29">
        <v>2.4140000000000001</v>
      </c>
      <c r="Y29">
        <v>2.4140000000000001</v>
      </c>
      <c r="Z29">
        <v>3.9209999999999998</v>
      </c>
      <c r="AA29">
        <v>1</v>
      </c>
      <c r="AB29">
        <v>1</v>
      </c>
      <c r="AC29" s="10">
        <v>1.3740000000000001</v>
      </c>
      <c r="AD29" s="10">
        <v>1.3740000000000001</v>
      </c>
      <c r="AE29" s="10">
        <v>5.4630000000000001</v>
      </c>
      <c r="AF29" s="10">
        <v>1</v>
      </c>
      <c r="AG29" s="10">
        <v>1</v>
      </c>
      <c r="AH29">
        <v>1.147</v>
      </c>
      <c r="AI29">
        <v>1.147</v>
      </c>
      <c r="AJ29">
        <v>2.2280000000000002</v>
      </c>
      <c r="AK29">
        <v>1</v>
      </c>
      <c r="AL29">
        <v>1</v>
      </c>
      <c r="AM29" s="10">
        <v>1.37</v>
      </c>
      <c r="AN29" s="10">
        <v>1.37</v>
      </c>
      <c r="AO29" s="10">
        <v>2.4990000000000001</v>
      </c>
      <c r="AP29" s="10">
        <v>1</v>
      </c>
      <c r="AQ29" s="10">
        <v>1</v>
      </c>
      <c r="AR29">
        <v>1.014</v>
      </c>
      <c r="AS29">
        <v>1.014</v>
      </c>
      <c r="AT29">
        <v>2.0960000000000001</v>
      </c>
      <c r="AU29">
        <v>1</v>
      </c>
      <c r="AV29">
        <v>1</v>
      </c>
    </row>
    <row r="30" spans="1:48" x14ac:dyDescent="0.2">
      <c r="A30" t="s">
        <v>56</v>
      </c>
      <c r="B30" t="s">
        <v>57</v>
      </c>
      <c r="C30">
        <v>4608773</v>
      </c>
      <c r="D30">
        <v>124</v>
      </c>
      <c r="E30">
        <v>0.83199999999999996</v>
      </c>
      <c r="F30">
        <v>58.180999999999997</v>
      </c>
      <c r="G30">
        <v>58.713999999999999</v>
      </c>
      <c r="H30">
        <v>2</v>
      </c>
      <c r="I30" s="6">
        <v>0.28000000000000003</v>
      </c>
      <c r="J30" s="6">
        <v>0.28000000000000003</v>
      </c>
      <c r="K30" s="6">
        <v>1.06</v>
      </c>
      <c r="L30" s="6">
        <v>1</v>
      </c>
      <c r="M30" s="6">
        <v>1</v>
      </c>
      <c r="N30">
        <v>0.20799999999999999</v>
      </c>
      <c r="O30">
        <v>0.20799999999999999</v>
      </c>
      <c r="P30">
        <v>0.85699999999999998</v>
      </c>
      <c r="Q30">
        <v>1</v>
      </c>
      <c r="R30">
        <v>1</v>
      </c>
      <c r="S30" s="7">
        <v>0.98099999999999998</v>
      </c>
      <c r="T30" s="7">
        <v>0.98099999999999998</v>
      </c>
      <c r="U30" s="7">
        <v>1.5880000000000001</v>
      </c>
      <c r="V30" s="7">
        <v>1</v>
      </c>
      <c r="W30" s="10">
        <v>0</v>
      </c>
      <c r="X30">
        <v>3.1150000000000002</v>
      </c>
      <c r="Y30">
        <v>3.1150000000000002</v>
      </c>
      <c r="Z30">
        <v>3.7869999999999999</v>
      </c>
      <c r="AA30">
        <v>1</v>
      </c>
      <c r="AB30">
        <v>0</v>
      </c>
      <c r="AC30" s="10">
        <v>0.245</v>
      </c>
      <c r="AD30" s="10">
        <v>0.245</v>
      </c>
      <c r="AE30" s="10">
        <v>0.98699999999999999</v>
      </c>
      <c r="AF30" s="10">
        <v>1</v>
      </c>
      <c r="AG30" s="10">
        <v>1</v>
      </c>
      <c r="AH30">
        <v>0.31</v>
      </c>
      <c r="AI30">
        <v>0.31</v>
      </c>
      <c r="AJ30">
        <v>0.93</v>
      </c>
      <c r="AK30">
        <v>1</v>
      </c>
      <c r="AL30">
        <v>1</v>
      </c>
      <c r="AM30" s="10">
        <v>0.154</v>
      </c>
      <c r="AN30" s="10">
        <v>0.154</v>
      </c>
      <c r="AO30" s="10">
        <v>0.71099999999999997</v>
      </c>
      <c r="AP30" s="10">
        <v>1</v>
      </c>
      <c r="AQ30" s="10">
        <v>1</v>
      </c>
      <c r="AR30">
        <v>0.22</v>
      </c>
      <c r="AS30">
        <v>0.22</v>
      </c>
      <c r="AT30">
        <v>0.89100000000000001</v>
      </c>
      <c r="AU30">
        <v>1</v>
      </c>
      <c r="AV30">
        <v>1</v>
      </c>
    </row>
    <row r="31" spans="1:48" x14ac:dyDescent="0.2">
      <c r="A31" t="s">
        <v>58</v>
      </c>
      <c r="B31" t="s">
        <v>59</v>
      </c>
      <c r="C31">
        <v>7835423</v>
      </c>
      <c r="D31">
        <v>193</v>
      </c>
      <c r="E31">
        <v>0</v>
      </c>
      <c r="F31">
        <v>0</v>
      </c>
      <c r="G31">
        <v>59.954000000000001</v>
      </c>
      <c r="H31">
        <v>0</v>
      </c>
      <c r="I31" s="6">
        <v>1.22</v>
      </c>
      <c r="J31" s="6">
        <v>1.22</v>
      </c>
      <c r="K31" s="6">
        <v>2.4249999999999998</v>
      </c>
      <c r="L31" s="6">
        <v>1</v>
      </c>
      <c r="M31" s="6">
        <v>1</v>
      </c>
      <c r="N31">
        <v>0.48099999999999998</v>
      </c>
      <c r="O31">
        <v>0.48099999999999998</v>
      </c>
      <c r="P31">
        <v>1.607</v>
      </c>
      <c r="Q31">
        <v>1</v>
      </c>
      <c r="R31">
        <v>0</v>
      </c>
      <c r="S31" s="7">
        <v>1.042</v>
      </c>
      <c r="T31" s="7">
        <v>1.042</v>
      </c>
      <c r="U31" s="7">
        <v>2.2080000000000002</v>
      </c>
      <c r="V31" s="7">
        <v>1</v>
      </c>
      <c r="W31" s="10">
        <v>1</v>
      </c>
      <c r="X31">
        <v>1.861</v>
      </c>
      <c r="Y31">
        <v>1.861</v>
      </c>
      <c r="Z31">
        <v>2.7130000000000001</v>
      </c>
      <c r="AA31">
        <v>1</v>
      </c>
      <c r="AB31">
        <v>0</v>
      </c>
      <c r="AC31" s="10">
        <v>1.0840000000000001</v>
      </c>
      <c r="AD31" s="10">
        <v>1.0840000000000001</v>
      </c>
      <c r="AE31" s="10">
        <v>1.9790000000000001</v>
      </c>
      <c r="AF31" s="10">
        <v>1</v>
      </c>
      <c r="AG31" s="10">
        <v>0</v>
      </c>
      <c r="AH31">
        <v>1.9279999999999999</v>
      </c>
      <c r="AI31">
        <v>2.8239999999999998</v>
      </c>
      <c r="AJ31">
        <v>3.101</v>
      </c>
      <c r="AK31">
        <v>2</v>
      </c>
      <c r="AL31">
        <v>1</v>
      </c>
      <c r="AM31" s="10">
        <v>1.214</v>
      </c>
      <c r="AN31" s="10">
        <v>1.214</v>
      </c>
      <c r="AO31" s="10">
        <v>2.14</v>
      </c>
      <c r="AP31" s="10">
        <v>1</v>
      </c>
      <c r="AQ31" s="10">
        <v>0</v>
      </c>
      <c r="AR31">
        <v>1.077</v>
      </c>
      <c r="AS31">
        <v>1.077</v>
      </c>
      <c r="AT31">
        <v>2.1179999999999999</v>
      </c>
      <c r="AU31">
        <v>1</v>
      </c>
      <c r="AV31">
        <v>1</v>
      </c>
    </row>
    <row r="32" spans="1:48" x14ac:dyDescent="0.2">
      <c r="A32" t="s">
        <v>60</v>
      </c>
      <c r="B32" t="s">
        <v>61</v>
      </c>
      <c r="C32">
        <v>7269286</v>
      </c>
      <c r="D32">
        <v>137</v>
      </c>
      <c r="E32">
        <v>0</v>
      </c>
      <c r="F32">
        <v>0</v>
      </c>
      <c r="G32">
        <v>59.301000000000002</v>
      </c>
      <c r="H32">
        <v>0</v>
      </c>
      <c r="I32" s="6">
        <v>1.4259999999999999</v>
      </c>
      <c r="J32" s="6">
        <v>1.4259999999999999</v>
      </c>
      <c r="K32" s="6">
        <v>2.63</v>
      </c>
      <c r="L32" s="6">
        <v>1</v>
      </c>
      <c r="M32" s="6">
        <v>1</v>
      </c>
      <c r="N32">
        <v>1.9419999999999999</v>
      </c>
      <c r="O32">
        <v>1.9419999999999999</v>
      </c>
      <c r="P32">
        <v>3.621</v>
      </c>
      <c r="Q32">
        <v>1</v>
      </c>
      <c r="R32">
        <v>0</v>
      </c>
      <c r="S32" s="7">
        <v>1.758</v>
      </c>
      <c r="T32" s="7">
        <v>1.758</v>
      </c>
      <c r="U32" s="7">
        <v>3.1680000000000001</v>
      </c>
      <c r="V32" s="7">
        <v>1</v>
      </c>
      <c r="W32" s="10">
        <v>0</v>
      </c>
      <c r="X32">
        <v>2.2240000000000002</v>
      </c>
      <c r="Y32">
        <v>2.2240000000000002</v>
      </c>
      <c r="Z32">
        <v>4.0439999999999996</v>
      </c>
      <c r="AA32">
        <v>1</v>
      </c>
      <c r="AB32">
        <v>1</v>
      </c>
      <c r="AC32" s="10">
        <v>1.0249999999999999</v>
      </c>
      <c r="AD32" s="10">
        <v>1.3839999999999999</v>
      </c>
      <c r="AE32" s="10">
        <v>2.3170000000000002</v>
      </c>
      <c r="AF32" s="10">
        <v>2</v>
      </c>
      <c r="AG32" s="10">
        <v>1</v>
      </c>
      <c r="AH32">
        <v>1.2709999999999999</v>
      </c>
      <c r="AI32">
        <v>1.2709999999999999</v>
      </c>
      <c r="AJ32">
        <v>2.2879999999999998</v>
      </c>
      <c r="AK32">
        <v>1</v>
      </c>
      <c r="AL32">
        <v>1</v>
      </c>
      <c r="AM32" s="10">
        <v>2.4489999999999998</v>
      </c>
      <c r="AN32" s="10">
        <v>3.323</v>
      </c>
      <c r="AO32" s="10">
        <v>3.9529999999999998</v>
      </c>
      <c r="AP32" s="10">
        <v>2</v>
      </c>
      <c r="AQ32" s="10">
        <v>1</v>
      </c>
      <c r="AR32">
        <v>0.999</v>
      </c>
      <c r="AS32">
        <v>0.999</v>
      </c>
      <c r="AT32">
        <v>2.839</v>
      </c>
      <c r="AU32">
        <v>1</v>
      </c>
      <c r="AV32">
        <v>1</v>
      </c>
    </row>
    <row r="33" spans="1:48" x14ac:dyDescent="0.2">
      <c r="A33" t="s">
        <v>62</v>
      </c>
      <c r="B33" t="s">
        <v>63</v>
      </c>
      <c r="C33">
        <v>9815108</v>
      </c>
      <c r="D33">
        <v>177</v>
      </c>
      <c r="E33">
        <v>0</v>
      </c>
      <c r="F33">
        <v>0</v>
      </c>
      <c r="G33">
        <v>63.506999999999998</v>
      </c>
      <c r="H33">
        <v>0</v>
      </c>
      <c r="I33" s="6">
        <v>2.4780000000000002</v>
      </c>
      <c r="J33" s="6">
        <v>2.4780000000000002</v>
      </c>
      <c r="K33" s="6">
        <v>4.0739999999999998</v>
      </c>
      <c r="L33" s="6">
        <v>1</v>
      </c>
      <c r="M33" s="6">
        <v>1</v>
      </c>
      <c r="N33">
        <v>1.335</v>
      </c>
      <c r="O33">
        <v>1.335</v>
      </c>
      <c r="P33">
        <v>2.9060000000000001</v>
      </c>
      <c r="Q33">
        <v>1</v>
      </c>
      <c r="R33">
        <v>0</v>
      </c>
      <c r="S33" s="7">
        <v>1.4339999999999999</v>
      </c>
      <c r="T33" s="7">
        <v>1.4339999999999999</v>
      </c>
      <c r="U33" s="7">
        <v>3.133</v>
      </c>
      <c r="V33" s="7">
        <v>1</v>
      </c>
      <c r="W33" s="10">
        <v>1</v>
      </c>
      <c r="X33">
        <v>3.2069999999999999</v>
      </c>
      <c r="Y33">
        <v>3.2069999999999999</v>
      </c>
      <c r="Z33">
        <v>6.3109999999999999</v>
      </c>
      <c r="AA33">
        <v>1</v>
      </c>
      <c r="AB33">
        <v>0</v>
      </c>
      <c r="AC33" s="10">
        <v>3.101</v>
      </c>
      <c r="AD33" s="10">
        <v>3.101</v>
      </c>
      <c r="AE33" s="10">
        <v>4.7919999999999998</v>
      </c>
      <c r="AF33" s="10">
        <v>1</v>
      </c>
      <c r="AG33" s="10">
        <v>1</v>
      </c>
      <c r="AH33">
        <v>1.1100000000000001</v>
      </c>
      <c r="AI33">
        <v>1.1100000000000001</v>
      </c>
      <c r="AJ33">
        <v>2.8220000000000001</v>
      </c>
      <c r="AK33">
        <v>1</v>
      </c>
      <c r="AL33">
        <v>1</v>
      </c>
      <c r="AM33" s="10">
        <v>2.5550000000000002</v>
      </c>
      <c r="AN33" s="10">
        <v>2.5550000000000002</v>
      </c>
      <c r="AO33" s="10">
        <v>4.3289999999999997</v>
      </c>
      <c r="AP33" s="10">
        <v>1</v>
      </c>
      <c r="AQ33" s="10">
        <v>0</v>
      </c>
      <c r="AR33">
        <v>1.5109999999999999</v>
      </c>
      <c r="AS33">
        <v>1.5109999999999999</v>
      </c>
      <c r="AT33">
        <v>3.101</v>
      </c>
      <c r="AU33">
        <v>1</v>
      </c>
      <c r="AV33">
        <v>1</v>
      </c>
    </row>
    <row r="34" spans="1:48" x14ac:dyDescent="0.2">
      <c r="A34" t="s">
        <v>64</v>
      </c>
      <c r="B34" t="s">
        <v>65</v>
      </c>
      <c r="C34">
        <v>2777828</v>
      </c>
      <c r="D34">
        <v>203</v>
      </c>
      <c r="E34">
        <v>0</v>
      </c>
      <c r="F34">
        <v>0</v>
      </c>
      <c r="G34">
        <v>66.212999999999994</v>
      </c>
      <c r="H34">
        <v>0</v>
      </c>
      <c r="I34" s="6">
        <v>1.4710000000000001</v>
      </c>
      <c r="J34" s="6">
        <v>1.4710000000000001</v>
      </c>
      <c r="K34" s="6">
        <v>2.9660000000000002</v>
      </c>
      <c r="L34" s="6">
        <v>1</v>
      </c>
      <c r="M34" s="6">
        <v>1</v>
      </c>
      <c r="N34">
        <v>5.8559999999999999</v>
      </c>
      <c r="O34">
        <v>5.8559999999999999</v>
      </c>
      <c r="P34">
        <v>7.5519999999999996</v>
      </c>
      <c r="Q34">
        <v>1</v>
      </c>
      <c r="R34">
        <v>0</v>
      </c>
      <c r="S34" s="7">
        <v>2.0459999999999998</v>
      </c>
      <c r="T34" s="7">
        <v>2.0459999999999998</v>
      </c>
      <c r="U34" s="7">
        <v>3.3820000000000001</v>
      </c>
      <c r="V34" s="7">
        <v>1</v>
      </c>
      <c r="W34" s="10">
        <v>1</v>
      </c>
      <c r="X34">
        <v>3.4079999999999999</v>
      </c>
      <c r="Y34">
        <v>3.4079999999999999</v>
      </c>
      <c r="Z34">
        <v>4.9400000000000004</v>
      </c>
      <c r="AA34">
        <v>1</v>
      </c>
      <c r="AB34">
        <v>0</v>
      </c>
      <c r="AC34" s="10">
        <v>3.2949999999999999</v>
      </c>
      <c r="AD34" s="10">
        <v>3.2949999999999999</v>
      </c>
      <c r="AE34" s="10">
        <v>4.8</v>
      </c>
      <c r="AF34" s="10">
        <v>1</v>
      </c>
      <c r="AG34" s="10">
        <v>1</v>
      </c>
      <c r="AH34">
        <v>1.597</v>
      </c>
      <c r="AI34">
        <v>1.597</v>
      </c>
      <c r="AJ34">
        <v>2.891</v>
      </c>
      <c r="AK34">
        <v>1</v>
      </c>
      <c r="AL34">
        <v>1</v>
      </c>
      <c r="AM34" s="10">
        <v>3.2010000000000001</v>
      </c>
      <c r="AN34" s="10">
        <v>3.2010000000000001</v>
      </c>
      <c r="AO34" s="10">
        <v>4.6219999999999999</v>
      </c>
      <c r="AP34" s="10">
        <v>1</v>
      </c>
      <c r="AQ34" s="10">
        <v>0</v>
      </c>
      <c r="AR34">
        <v>3.2610000000000001</v>
      </c>
      <c r="AS34">
        <v>3.2610000000000001</v>
      </c>
      <c r="AT34">
        <v>5.6689999999999996</v>
      </c>
      <c r="AU34">
        <v>1</v>
      </c>
      <c r="AV34">
        <v>1</v>
      </c>
    </row>
    <row r="35" spans="1:48" x14ac:dyDescent="0.2">
      <c r="A35" t="s">
        <v>66</v>
      </c>
      <c r="B35" t="s">
        <v>67</v>
      </c>
      <c r="C35">
        <v>8758423</v>
      </c>
      <c r="D35">
        <v>217</v>
      </c>
      <c r="E35">
        <v>0</v>
      </c>
      <c r="F35">
        <v>0</v>
      </c>
      <c r="G35">
        <v>62.222000000000001</v>
      </c>
      <c r="H35">
        <v>0</v>
      </c>
      <c r="I35" s="6">
        <v>3.4340000000000002</v>
      </c>
      <c r="J35" s="6">
        <v>3.4340000000000002</v>
      </c>
      <c r="K35" s="6">
        <v>4.9610000000000003</v>
      </c>
      <c r="L35" s="6">
        <v>1</v>
      </c>
      <c r="M35" s="6">
        <v>1</v>
      </c>
      <c r="N35">
        <v>4.01</v>
      </c>
      <c r="O35">
        <v>4.01</v>
      </c>
      <c r="P35">
        <v>7.46</v>
      </c>
      <c r="Q35">
        <v>1</v>
      </c>
      <c r="R35">
        <v>1</v>
      </c>
      <c r="S35" s="7">
        <v>9.7799999999999994</v>
      </c>
      <c r="T35" s="7">
        <v>9.7799999999999994</v>
      </c>
      <c r="U35" s="7">
        <v>12.215999999999999</v>
      </c>
      <c r="V35" s="7">
        <v>1</v>
      </c>
      <c r="W35" s="10">
        <v>1</v>
      </c>
      <c r="X35">
        <v>3.5539999999999998</v>
      </c>
      <c r="Y35">
        <v>3.5539999999999998</v>
      </c>
      <c r="Z35">
        <v>5.5129999999999999</v>
      </c>
      <c r="AA35">
        <v>1</v>
      </c>
      <c r="AB35">
        <v>1</v>
      </c>
      <c r="AC35" s="10">
        <v>3.2120000000000002</v>
      </c>
      <c r="AD35" s="10">
        <v>3.2120000000000002</v>
      </c>
      <c r="AE35" s="10">
        <v>5.6</v>
      </c>
      <c r="AF35" s="10">
        <v>1</v>
      </c>
      <c r="AG35" s="10">
        <v>1</v>
      </c>
      <c r="AH35">
        <v>3.2320000000000002</v>
      </c>
      <c r="AI35">
        <v>3.2320000000000002</v>
      </c>
      <c r="AJ35">
        <v>6.181</v>
      </c>
      <c r="AK35">
        <v>1</v>
      </c>
      <c r="AL35">
        <v>1</v>
      </c>
      <c r="AM35" s="10">
        <v>2.4649999999999999</v>
      </c>
      <c r="AN35" s="10">
        <v>2.4649999999999999</v>
      </c>
      <c r="AO35" s="10">
        <v>6.8529999999999998</v>
      </c>
      <c r="AP35" s="10">
        <v>1</v>
      </c>
      <c r="AQ35" s="10">
        <v>1</v>
      </c>
      <c r="AR35">
        <v>1.5349999999999999</v>
      </c>
      <c r="AS35">
        <v>1.5349999999999999</v>
      </c>
      <c r="AT35">
        <v>5.5629999999999997</v>
      </c>
      <c r="AU35">
        <v>1</v>
      </c>
      <c r="AV35">
        <v>1</v>
      </c>
    </row>
    <row r="36" spans="1:48" x14ac:dyDescent="0.2">
      <c r="A36" t="s">
        <v>68</v>
      </c>
      <c r="B36" t="s">
        <v>69</v>
      </c>
      <c r="C36">
        <v>2176754</v>
      </c>
      <c r="D36">
        <v>218</v>
      </c>
      <c r="E36">
        <v>0</v>
      </c>
      <c r="F36">
        <v>0</v>
      </c>
      <c r="G36">
        <v>59.4</v>
      </c>
      <c r="H36">
        <v>0</v>
      </c>
      <c r="I36" s="6">
        <v>1.7609999999999999</v>
      </c>
      <c r="J36" s="6">
        <v>1.7609999999999999</v>
      </c>
      <c r="K36" s="6">
        <v>3.101</v>
      </c>
      <c r="L36" s="6">
        <v>1</v>
      </c>
      <c r="M36" s="6">
        <v>1</v>
      </c>
      <c r="N36">
        <v>3.0129999999999999</v>
      </c>
      <c r="O36">
        <v>3.0129999999999999</v>
      </c>
      <c r="P36">
        <v>6.125</v>
      </c>
      <c r="Q36">
        <v>1</v>
      </c>
      <c r="R36">
        <v>1</v>
      </c>
      <c r="S36" s="7">
        <v>4.2670000000000003</v>
      </c>
      <c r="T36" s="7">
        <v>4.2670000000000003</v>
      </c>
      <c r="U36" s="7">
        <v>7.5609999999999999</v>
      </c>
      <c r="V36" s="7">
        <v>1</v>
      </c>
      <c r="W36" s="10">
        <v>1</v>
      </c>
      <c r="X36">
        <v>2.218</v>
      </c>
      <c r="Y36">
        <v>2.218</v>
      </c>
      <c r="Z36">
        <v>3.528</v>
      </c>
      <c r="AA36">
        <v>1</v>
      </c>
      <c r="AB36">
        <v>1</v>
      </c>
      <c r="AC36" s="10">
        <v>2.0310000000000001</v>
      </c>
      <c r="AD36" s="10">
        <v>2.0310000000000001</v>
      </c>
      <c r="AE36" s="10">
        <v>3.1629999999999998</v>
      </c>
      <c r="AF36" s="10">
        <v>1</v>
      </c>
      <c r="AG36" s="10">
        <v>1</v>
      </c>
      <c r="AH36">
        <v>2.335</v>
      </c>
      <c r="AI36">
        <v>2.335</v>
      </c>
      <c r="AJ36">
        <v>3.218</v>
      </c>
      <c r="AK36">
        <v>1</v>
      </c>
      <c r="AL36">
        <v>1</v>
      </c>
      <c r="AM36" s="10">
        <v>2.617</v>
      </c>
      <c r="AN36" s="10">
        <v>2.617</v>
      </c>
      <c r="AO36" s="10">
        <v>3.4670000000000001</v>
      </c>
      <c r="AP36" s="10">
        <v>1</v>
      </c>
      <c r="AQ36" s="10">
        <v>1</v>
      </c>
      <c r="AR36">
        <v>2.0169999999999999</v>
      </c>
      <c r="AS36">
        <v>2.0169999999999999</v>
      </c>
      <c r="AT36">
        <v>3.1160000000000001</v>
      </c>
      <c r="AU36">
        <v>1</v>
      </c>
      <c r="AV36">
        <v>1</v>
      </c>
    </row>
    <row r="37" spans="1:48" x14ac:dyDescent="0.2">
      <c r="A37" t="s">
        <v>70</v>
      </c>
      <c r="B37" t="s">
        <v>71</v>
      </c>
      <c r="C37">
        <v>2176754</v>
      </c>
      <c r="D37">
        <v>219</v>
      </c>
      <c r="E37">
        <v>0</v>
      </c>
      <c r="F37">
        <v>0</v>
      </c>
      <c r="G37">
        <v>59.698999999999998</v>
      </c>
      <c r="H37">
        <v>0</v>
      </c>
      <c r="I37" s="6">
        <v>1.9950000000000001</v>
      </c>
      <c r="J37" s="6">
        <v>1.9950000000000001</v>
      </c>
      <c r="K37" s="6">
        <v>2.8679999999999999</v>
      </c>
      <c r="L37" s="6">
        <v>1</v>
      </c>
      <c r="M37" s="6">
        <v>1</v>
      </c>
      <c r="N37">
        <v>1.857</v>
      </c>
      <c r="O37">
        <v>1.857</v>
      </c>
      <c r="P37">
        <v>3.4159999999999999</v>
      </c>
      <c r="Q37">
        <v>1</v>
      </c>
      <c r="R37">
        <v>1</v>
      </c>
      <c r="S37" s="7">
        <v>4.9740000000000002</v>
      </c>
      <c r="T37" s="7">
        <v>4.9740000000000002</v>
      </c>
      <c r="U37" s="7">
        <v>5.7569999999999997</v>
      </c>
      <c r="V37" s="7">
        <v>1</v>
      </c>
      <c r="W37" s="10">
        <v>1</v>
      </c>
      <c r="X37">
        <v>3.202</v>
      </c>
      <c r="Y37">
        <v>3.202</v>
      </c>
      <c r="Z37">
        <v>4.085</v>
      </c>
      <c r="AA37">
        <v>1</v>
      </c>
      <c r="AB37">
        <v>1</v>
      </c>
      <c r="AC37" s="10">
        <v>1.327</v>
      </c>
      <c r="AD37" s="10">
        <v>1.327</v>
      </c>
      <c r="AE37" s="10">
        <v>2.5139999999999998</v>
      </c>
      <c r="AF37" s="10">
        <v>1</v>
      </c>
      <c r="AG37" s="10">
        <v>1</v>
      </c>
      <c r="AH37">
        <v>1.56</v>
      </c>
      <c r="AI37">
        <v>1.56</v>
      </c>
      <c r="AJ37">
        <v>2.282</v>
      </c>
      <c r="AK37">
        <v>1</v>
      </c>
      <c r="AL37">
        <v>1</v>
      </c>
      <c r="AM37" s="10">
        <v>2.472</v>
      </c>
      <c r="AN37" s="10">
        <v>2.472</v>
      </c>
      <c r="AO37" s="10">
        <v>3.2410000000000001</v>
      </c>
      <c r="AP37" s="10">
        <v>1</v>
      </c>
      <c r="AQ37" s="10">
        <v>1</v>
      </c>
      <c r="AR37">
        <v>1.026</v>
      </c>
      <c r="AS37">
        <v>1.026</v>
      </c>
      <c r="AT37">
        <v>2.0099999999999998</v>
      </c>
      <c r="AU37">
        <v>1</v>
      </c>
      <c r="AV37">
        <v>1</v>
      </c>
    </row>
    <row r="38" spans="1:48" x14ac:dyDescent="0.2">
      <c r="A38" t="s">
        <v>72</v>
      </c>
      <c r="B38" t="s">
        <v>73</v>
      </c>
      <c r="C38">
        <v>6444917</v>
      </c>
      <c r="D38">
        <v>195</v>
      </c>
      <c r="E38">
        <v>0</v>
      </c>
      <c r="F38">
        <v>0</v>
      </c>
      <c r="G38">
        <v>60.328000000000003</v>
      </c>
      <c r="H38">
        <v>0</v>
      </c>
      <c r="I38" s="6">
        <v>2.9769999999999999</v>
      </c>
      <c r="J38" s="6">
        <v>2.9769999999999999</v>
      </c>
      <c r="K38" s="6">
        <v>4.4219999999999997</v>
      </c>
      <c r="L38" s="6">
        <v>1</v>
      </c>
      <c r="M38" s="6">
        <v>0</v>
      </c>
      <c r="N38">
        <v>2.1080000000000001</v>
      </c>
      <c r="O38">
        <v>2.1080000000000001</v>
      </c>
      <c r="P38">
        <v>3.2490000000000001</v>
      </c>
      <c r="Q38">
        <v>1</v>
      </c>
      <c r="R38">
        <v>0</v>
      </c>
      <c r="S38" s="7">
        <v>3.7789999999999999</v>
      </c>
      <c r="T38" s="7">
        <v>3.7789999999999999</v>
      </c>
      <c r="U38" s="7">
        <v>4.9119999999999999</v>
      </c>
      <c r="V38" s="7">
        <v>1</v>
      </c>
      <c r="W38" s="10">
        <v>0</v>
      </c>
      <c r="X38">
        <v>5.077</v>
      </c>
      <c r="Y38">
        <v>5.077</v>
      </c>
      <c r="Z38">
        <v>6.1139999999999999</v>
      </c>
      <c r="AA38">
        <v>1</v>
      </c>
      <c r="AB38">
        <v>0</v>
      </c>
      <c r="AC38" s="10">
        <v>2.2690000000000001</v>
      </c>
      <c r="AD38" s="10">
        <v>2.2690000000000001</v>
      </c>
      <c r="AE38" s="10">
        <v>3.5059999999999998</v>
      </c>
      <c r="AF38" s="10">
        <v>1</v>
      </c>
      <c r="AG38" s="10">
        <v>0</v>
      </c>
      <c r="AH38">
        <v>1.7889999999999999</v>
      </c>
      <c r="AI38">
        <v>1.7889999999999999</v>
      </c>
      <c r="AJ38">
        <v>2.778</v>
      </c>
      <c r="AK38">
        <v>1</v>
      </c>
      <c r="AL38">
        <v>0</v>
      </c>
      <c r="AM38" s="10">
        <v>2.097</v>
      </c>
      <c r="AN38" s="10">
        <v>2.097</v>
      </c>
      <c r="AO38" s="10">
        <v>2.9020000000000001</v>
      </c>
      <c r="AP38" s="10">
        <v>1</v>
      </c>
      <c r="AQ38" s="10">
        <v>1</v>
      </c>
      <c r="AR38">
        <v>2.7559999999999998</v>
      </c>
      <c r="AS38">
        <v>2.7559999999999998</v>
      </c>
      <c r="AT38">
        <v>3.9049999999999998</v>
      </c>
      <c r="AU38">
        <v>1</v>
      </c>
      <c r="AV38">
        <v>1</v>
      </c>
    </row>
    <row r="39" spans="1:48" x14ac:dyDescent="0.2">
      <c r="A39" s="3" t="s">
        <v>74</v>
      </c>
      <c r="B39" s="3" t="s">
        <v>75</v>
      </c>
      <c r="C39" s="3">
        <v>5195929</v>
      </c>
      <c r="D39" s="3">
        <v>296</v>
      </c>
      <c r="E39" s="3">
        <v>1.0940000000000001</v>
      </c>
      <c r="F39" s="3">
        <v>62.872</v>
      </c>
      <c r="G39" s="3">
        <v>63.765000000000001</v>
      </c>
      <c r="H39" s="3">
        <v>5</v>
      </c>
      <c r="I39" s="6">
        <v>0.74399999999999999</v>
      </c>
      <c r="J39" s="6">
        <v>3.2490000000000001</v>
      </c>
      <c r="K39" s="6">
        <v>4.3040000000000003</v>
      </c>
      <c r="L39" s="6">
        <v>3</v>
      </c>
      <c r="M39" s="6">
        <v>1</v>
      </c>
      <c r="N39" s="3">
        <v>0.65400000000000003</v>
      </c>
      <c r="O39" s="3">
        <v>3.532</v>
      </c>
      <c r="P39" s="3">
        <v>4.3529999999999998</v>
      </c>
      <c r="Q39" s="3">
        <v>3</v>
      </c>
      <c r="R39">
        <v>0</v>
      </c>
      <c r="S39" s="7">
        <v>1.343</v>
      </c>
      <c r="T39" s="7">
        <v>2.4950000000000001</v>
      </c>
      <c r="U39" s="7">
        <v>3.3</v>
      </c>
      <c r="V39" s="7">
        <v>2</v>
      </c>
      <c r="W39" s="10">
        <v>1</v>
      </c>
      <c r="X39" s="3">
        <v>0.97099999999999997</v>
      </c>
      <c r="Y39" s="3">
        <v>5.7480000000000002</v>
      </c>
      <c r="Z39" s="3">
        <v>8.1760000000000002</v>
      </c>
      <c r="AA39" s="3">
        <v>4</v>
      </c>
      <c r="AB39">
        <v>0</v>
      </c>
      <c r="AC39" s="12">
        <v>0.80200000000000005</v>
      </c>
      <c r="AD39" s="12">
        <v>2.7530000000000001</v>
      </c>
      <c r="AE39" s="12">
        <v>3.5790000000000002</v>
      </c>
      <c r="AF39" s="12">
        <v>3</v>
      </c>
      <c r="AG39" s="10">
        <v>1</v>
      </c>
      <c r="AH39" s="3">
        <v>0.68500000000000005</v>
      </c>
      <c r="AI39" s="3">
        <v>3.1440000000000001</v>
      </c>
      <c r="AJ39" s="3">
        <v>4.0279999999999996</v>
      </c>
      <c r="AK39" s="3">
        <v>3</v>
      </c>
      <c r="AL39">
        <v>1</v>
      </c>
      <c r="AM39" s="12">
        <v>0.52200000000000002</v>
      </c>
      <c r="AN39" s="12">
        <v>4.577</v>
      </c>
      <c r="AO39" s="12">
        <v>5.3520000000000003</v>
      </c>
      <c r="AP39" s="12">
        <v>3</v>
      </c>
      <c r="AQ39" s="10">
        <v>0</v>
      </c>
      <c r="AR39" s="3">
        <v>0.77900000000000003</v>
      </c>
      <c r="AS39" s="3">
        <v>2.6549999999999998</v>
      </c>
      <c r="AT39" s="3">
        <v>3.6480000000000001</v>
      </c>
      <c r="AU39" s="3">
        <v>3</v>
      </c>
      <c r="AV39">
        <v>1</v>
      </c>
    </row>
    <row r="40" spans="1:48" x14ac:dyDescent="0.2">
      <c r="A40" s="3" t="s">
        <v>76</v>
      </c>
      <c r="B40" s="3" t="s">
        <v>77</v>
      </c>
      <c r="C40" s="3">
        <v>5074010</v>
      </c>
      <c r="D40" s="3">
        <v>496</v>
      </c>
      <c r="E40" s="3">
        <v>22.815999999999999</v>
      </c>
      <c r="F40" s="3">
        <v>304.45600000000002</v>
      </c>
      <c r="G40" s="3">
        <v>323.98899999999998</v>
      </c>
      <c r="H40" s="3">
        <v>3</v>
      </c>
      <c r="I40" s="6">
        <v>1.0029999999999999</v>
      </c>
      <c r="J40" s="6">
        <v>1.0029999999999999</v>
      </c>
      <c r="K40" s="6">
        <v>2.1349999999999998</v>
      </c>
      <c r="L40" s="6">
        <v>1</v>
      </c>
      <c r="M40" s="6">
        <v>1</v>
      </c>
      <c r="N40" s="3">
        <v>2.1709999999999998</v>
      </c>
      <c r="O40" s="3">
        <v>2.1709999999999998</v>
      </c>
      <c r="P40" s="3">
        <v>4.2789999999999999</v>
      </c>
      <c r="Q40" s="3">
        <v>1</v>
      </c>
      <c r="R40">
        <v>1</v>
      </c>
      <c r="S40" s="7">
        <v>0.108</v>
      </c>
      <c r="T40" s="7">
        <v>0.72099999999999997</v>
      </c>
      <c r="U40" s="7">
        <v>0.95899999999999996</v>
      </c>
      <c r="V40" s="7">
        <v>4</v>
      </c>
      <c r="W40" s="10">
        <v>1</v>
      </c>
      <c r="X40" s="3">
        <v>0.158</v>
      </c>
      <c r="Y40" s="3">
        <v>2.0329999999999999</v>
      </c>
      <c r="Z40" s="3">
        <v>3.8210000000000002</v>
      </c>
      <c r="AA40" s="3">
        <v>2</v>
      </c>
      <c r="AB40">
        <v>1</v>
      </c>
      <c r="AC40" s="12">
        <v>3.0070000000000001</v>
      </c>
      <c r="AD40" s="12">
        <v>3.681</v>
      </c>
      <c r="AE40" s="12">
        <v>4.1740000000000004</v>
      </c>
      <c r="AF40" s="12">
        <v>2</v>
      </c>
      <c r="AG40" s="10">
        <v>1</v>
      </c>
      <c r="AH40" s="3">
        <v>0.75600000000000001</v>
      </c>
      <c r="AI40" s="3">
        <v>0.75600000000000001</v>
      </c>
      <c r="AJ40" s="3">
        <v>1.996</v>
      </c>
      <c r="AK40" s="3">
        <v>1</v>
      </c>
      <c r="AL40">
        <v>1</v>
      </c>
      <c r="AM40" s="12">
        <v>0.32400000000000001</v>
      </c>
      <c r="AN40" s="12">
        <v>1.2410000000000001</v>
      </c>
      <c r="AO40" s="12">
        <v>3.4510000000000001</v>
      </c>
      <c r="AP40" s="12">
        <v>3</v>
      </c>
      <c r="AQ40" s="10">
        <v>1</v>
      </c>
      <c r="AR40" s="3">
        <v>0.95499999999999996</v>
      </c>
      <c r="AS40" s="3">
        <v>2.4820000000000002</v>
      </c>
      <c r="AT40" s="3">
        <v>3.3559999999999999</v>
      </c>
      <c r="AU40" s="3">
        <v>3</v>
      </c>
      <c r="AV40">
        <v>1</v>
      </c>
    </row>
    <row r="41" spans="1:48" x14ac:dyDescent="0.2">
      <c r="A41" t="s">
        <v>78</v>
      </c>
      <c r="B41" t="s">
        <v>79</v>
      </c>
      <c r="C41">
        <v>1381053</v>
      </c>
      <c r="D41">
        <v>165</v>
      </c>
      <c r="E41">
        <v>0</v>
      </c>
      <c r="F41">
        <v>0</v>
      </c>
      <c r="G41">
        <v>64.471999999999994</v>
      </c>
      <c r="H41">
        <v>0</v>
      </c>
      <c r="I41" s="6">
        <v>2.6190000000000002</v>
      </c>
      <c r="J41" s="6">
        <v>2.6190000000000002</v>
      </c>
      <c r="K41" s="6">
        <v>3.911</v>
      </c>
      <c r="L41" s="6">
        <v>1</v>
      </c>
      <c r="M41" s="6">
        <v>1</v>
      </c>
      <c r="N41">
        <v>8.6069999999999993</v>
      </c>
      <c r="O41">
        <v>8.6069999999999993</v>
      </c>
      <c r="P41">
        <v>9.4920000000000009</v>
      </c>
      <c r="Q41">
        <v>1</v>
      </c>
      <c r="R41">
        <v>1</v>
      </c>
      <c r="S41" s="7">
        <v>1.212</v>
      </c>
      <c r="T41" s="7">
        <v>1.212</v>
      </c>
      <c r="U41" s="7">
        <v>2.0089999999999999</v>
      </c>
      <c r="V41" s="7">
        <v>1</v>
      </c>
      <c r="W41" s="10">
        <v>1</v>
      </c>
      <c r="X41">
        <v>4.2460000000000004</v>
      </c>
      <c r="Y41">
        <v>4.2460000000000004</v>
      </c>
      <c r="Z41">
        <v>4.9119999999999999</v>
      </c>
      <c r="AA41">
        <v>1</v>
      </c>
      <c r="AB41">
        <v>1</v>
      </c>
      <c r="AC41" s="10">
        <v>1.073</v>
      </c>
      <c r="AD41" s="10">
        <v>1.073</v>
      </c>
      <c r="AE41" s="10">
        <v>3.13</v>
      </c>
      <c r="AF41" s="10">
        <v>1</v>
      </c>
      <c r="AG41" s="10">
        <v>1</v>
      </c>
      <c r="AH41">
        <v>0.63100000000000001</v>
      </c>
      <c r="AI41">
        <v>0.63100000000000001</v>
      </c>
      <c r="AJ41">
        <v>1.498</v>
      </c>
      <c r="AK41">
        <v>1</v>
      </c>
      <c r="AL41">
        <v>1</v>
      </c>
      <c r="AM41" s="10">
        <v>5.3659999999999997</v>
      </c>
      <c r="AN41" s="10">
        <v>5.3659999999999997</v>
      </c>
      <c r="AO41" s="10">
        <v>6.4390000000000001</v>
      </c>
      <c r="AP41" s="10">
        <v>1</v>
      </c>
      <c r="AQ41" s="10">
        <v>1</v>
      </c>
      <c r="AR41">
        <v>1.611</v>
      </c>
      <c r="AS41">
        <v>1.611</v>
      </c>
      <c r="AT41">
        <v>2.214</v>
      </c>
      <c r="AU41">
        <v>1</v>
      </c>
      <c r="AV41">
        <v>1</v>
      </c>
    </row>
    <row r="42" spans="1:48" x14ac:dyDescent="0.2">
      <c r="A42" t="s">
        <v>80</v>
      </c>
      <c r="B42" t="s">
        <v>81</v>
      </c>
      <c r="C42">
        <v>4161685</v>
      </c>
      <c r="D42">
        <v>249</v>
      </c>
      <c r="E42">
        <v>3.3959999999999999</v>
      </c>
      <c r="F42">
        <v>3.3959999999999999</v>
      </c>
      <c r="G42">
        <v>63.091999999999999</v>
      </c>
      <c r="H42">
        <v>1</v>
      </c>
      <c r="I42" s="6">
        <v>1.8140000000000001</v>
      </c>
      <c r="J42" s="6">
        <v>1.8140000000000001</v>
      </c>
      <c r="K42" s="6">
        <v>3.07</v>
      </c>
      <c r="L42" s="6">
        <v>1</v>
      </c>
      <c r="M42" s="6">
        <v>1</v>
      </c>
      <c r="N42">
        <v>2.1749999999999998</v>
      </c>
      <c r="O42">
        <v>2.1749999999999998</v>
      </c>
      <c r="P42">
        <v>3.476</v>
      </c>
      <c r="Q42">
        <v>1</v>
      </c>
      <c r="R42">
        <v>1</v>
      </c>
      <c r="S42" s="7">
        <v>9.5939999999999994</v>
      </c>
      <c r="T42" s="7">
        <v>9.5939999999999994</v>
      </c>
      <c r="U42" s="7">
        <v>11.472</v>
      </c>
      <c r="V42" s="7">
        <v>1</v>
      </c>
      <c r="W42" s="10">
        <v>1</v>
      </c>
      <c r="X42">
        <v>2.0030000000000001</v>
      </c>
      <c r="Y42">
        <v>2.0030000000000001</v>
      </c>
      <c r="Z42">
        <v>3.3119999999999998</v>
      </c>
      <c r="AA42">
        <v>1</v>
      </c>
      <c r="AB42">
        <v>0</v>
      </c>
      <c r="AC42" s="10">
        <v>8.5660000000000007</v>
      </c>
      <c r="AD42" s="10">
        <v>13.702999999999999</v>
      </c>
      <c r="AE42" s="10">
        <v>14.662000000000001</v>
      </c>
      <c r="AF42" s="10">
        <v>2</v>
      </c>
      <c r="AG42" s="10">
        <v>1</v>
      </c>
      <c r="AH42">
        <v>5.1319999999999997</v>
      </c>
      <c r="AI42">
        <v>5.1319999999999997</v>
      </c>
      <c r="AJ42">
        <v>6.1970000000000001</v>
      </c>
      <c r="AK42">
        <v>1</v>
      </c>
      <c r="AL42">
        <v>1</v>
      </c>
      <c r="AM42" s="10">
        <v>3.1709999999999998</v>
      </c>
      <c r="AN42" s="10">
        <v>3.1709999999999998</v>
      </c>
      <c r="AO42" s="10">
        <v>5.4619999999999997</v>
      </c>
      <c r="AP42" s="10">
        <v>1</v>
      </c>
      <c r="AQ42" s="10">
        <v>0</v>
      </c>
      <c r="AR42">
        <v>2.09</v>
      </c>
      <c r="AS42">
        <v>2.09</v>
      </c>
      <c r="AT42">
        <v>3.1579999999999999</v>
      </c>
      <c r="AU42">
        <v>1</v>
      </c>
      <c r="AV42">
        <v>1</v>
      </c>
    </row>
    <row r="43" spans="1:48" x14ac:dyDescent="0.2">
      <c r="A43" t="s">
        <v>82</v>
      </c>
      <c r="B43" t="s">
        <v>83</v>
      </c>
      <c r="C43">
        <v>2425272</v>
      </c>
      <c r="D43">
        <v>244</v>
      </c>
      <c r="E43">
        <v>0</v>
      </c>
      <c r="F43">
        <v>0</v>
      </c>
      <c r="G43">
        <v>58.936999999999998</v>
      </c>
      <c r="H43">
        <v>0</v>
      </c>
      <c r="I43" s="6">
        <v>5.9690000000000003</v>
      </c>
      <c r="J43" s="6">
        <v>5.9690000000000003</v>
      </c>
      <c r="K43" s="6">
        <v>6.95</v>
      </c>
      <c r="L43" s="6">
        <v>1</v>
      </c>
      <c r="M43" s="6">
        <v>0</v>
      </c>
      <c r="N43">
        <v>2.3839999999999999</v>
      </c>
      <c r="O43">
        <v>2.3839999999999999</v>
      </c>
      <c r="P43">
        <v>3.2869999999999999</v>
      </c>
      <c r="Q43">
        <v>1</v>
      </c>
      <c r="R43">
        <v>1</v>
      </c>
      <c r="S43" s="7">
        <v>19.148</v>
      </c>
      <c r="T43" s="7">
        <v>19.148</v>
      </c>
      <c r="U43" s="7">
        <v>19.956</v>
      </c>
      <c r="V43" s="7">
        <v>1</v>
      </c>
      <c r="W43" s="10">
        <v>0</v>
      </c>
      <c r="X43">
        <v>5.2009999999999996</v>
      </c>
      <c r="Y43">
        <v>5.2009999999999996</v>
      </c>
      <c r="Z43">
        <v>6.1</v>
      </c>
      <c r="AA43">
        <v>1</v>
      </c>
      <c r="AB43">
        <v>1</v>
      </c>
      <c r="AC43" s="10">
        <v>1.736</v>
      </c>
      <c r="AD43" s="10">
        <v>1.736</v>
      </c>
      <c r="AE43" s="10">
        <v>5.4219999999999997</v>
      </c>
      <c r="AF43" s="10">
        <v>1</v>
      </c>
      <c r="AG43" s="10">
        <v>1</v>
      </c>
      <c r="AH43">
        <v>5.6580000000000004</v>
      </c>
      <c r="AI43">
        <v>5.6580000000000004</v>
      </c>
      <c r="AJ43">
        <v>6.3179999999999996</v>
      </c>
      <c r="AK43">
        <v>1</v>
      </c>
      <c r="AL43">
        <v>0</v>
      </c>
      <c r="AM43" s="10">
        <v>6.5330000000000004</v>
      </c>
      <c r="AN43" s="10">
        <v>6.5330000000000004</v>
      </c>
      <c r="AO43" s="10">
        <v>7.32</v>
      </c>
      <c r="AP43" s="10">
        <v>1</v>
      </c>
      <c r="AQ43" s="10">
        <v>0</v>
      </c>
      <c r="AR43">
        <v>5.7729999999999997</v>
      </c>
      <c r="AS43">
        <v>5.7729999999999997</v>
      </c>
      <c r="AT43">
        <v>11.569000000000001</v>
      </c>
      <c r="AU43">
        <v>1</v>
      </c>
      <c r="AV43">
        <v>0</v>
      </c>
    </row>
    <row r="44" spans="1:48" x14ac:dyDescent="0.2">
      <c r="A44" t="s">
        <v>84</v>
      </c>
      <c r="B44" t="s">
        <v>85</v>
      </c>
      <c r="C44">
        <v>4094723</v>
      </c>
      <c r="D44">
        <v>135</v>
      </c>
      <c r="E44">
        <v>8.8520000000000003</v>
      </c>
      <c r="F44">
        <v>8.8520000000000003</v>
      </c>
      <c r="G44">
        <v>58.982999999999997</v>
      </c>
      <c r="H44">
        <v>1</v>
      </c>
      <c r="I44" s="6">
        <v>1.5089999999999999</v>
      </c>
      <c r="J44" s="6">
        <v>1.5089999999999999</v>
      </c>
      <c r="K44" s="6">
        <v>2.4809999999999999</v>
      </c>
      <c r="L44" s="6">
        <v>1</v>
      </c>
      <c r="M44" s="6">
        <v>1</v>
      </c>
      <c r="N44">
        <v>1.365</v>
      </c>
      <c r="O44">
        <v>1.956</v>
      </c>
      <c r="P44">
        <v>2.6219999999999999</v>
      </c>
      <c r="Q44">
        <v>2</v>
      </c>
      <c r="R44">
        <v>1</v>
      </c>
      <c r="S44" s="7">
        <v>0.56899999999999995</v>
      </c>
      <c r="T44" s="7">
        <v>0.56899999999999995</v>
      </c>
      <c r="U44" s="7">
        <v>1.452</v>
      </c>
      <c r="V44" s="7">
        <v>1</v>
      </c>
      <c r="W44" s="10">
        <v>1</v>
      </c>
      <c r="X44">
        <v>0.82699999999999996</v>
      </c>
      <c r="Y44">
        <v>0.82699999999999996</v>
      </c>
      <c r="Z44">
        <v>1.53</v>
      </c>
      <c r="AA44">
        <v>1</v>
      </c>
      <c r="AB44">
        <v>1</v>
      </c>
      <c r="AC44" s="10">
        <v>1.2390000000000001</v>
      </c>
      <c r="AD44" s="10">
        <v>2.84</v>
      </c>
      <c r="AE44" s="10">
        <v>3.4990000000000001</v>
      </c>
      <c r="AF44" s="10">
        <v>4</v>
      </c>
      <c r="AG44" s="10">
        <v>1</v>
      </c>
      <c r="AH44">
        <v>0.81200000000000006</v>
      </c>
      <c r="AI44">
        <v>0.81200000000000006</v>
      </c>
      <c r="AJ44">
        <v>1.581</v>
      </c>
      <c r="AK44">
        <v>1</v>
      </c>
      <c r="AL44">
        <v>1</v>
      </c>
      <c r="AM44" s="10">
        <v>0.58299999999999996</v>
      </c>
      <c r="AN44" s="10">
        <v>0.58299999999999996</v>
      </c>
      <c r="AO44" s="10">
        <v>1.0780000000000001</v>
      </c>
      <c r="AP44" s="10">
        <v>1</v>
      </c>
      <c r="AQ44" s="10">
        <v>1</v>
      </c>
      <c r="AR44">
        <v>0.66400000000000003</v>
      </c>
      <c r="AS44">
        <v>1.202</v>
      </c>
      <c r="AT44">
        <v>1.534</v>
      </c>
      <c r="AU44">
        <v>2</v>
      </c>
      <c r="AV44">
        <v>1</v>
      </c>
    </row>
    <row r="45" spans="1:48" x14ac:dyDescent="0.2">
      <c r="A45" t="s">
        <v>86</v>
      </c>
      <c r="B45" t="s">
        <v>87</v>
      </c>
      <c r="C45">
        <v>9660931</v>
      </c>
      <c r="D45">
        <v>172</v>
      </c>
      <c r="E45">
        <v>0</v>
      </c>
      <c r="F45">
        <v>0</v>
      </c>
      <c r="G45">
        <v>65.846999999999994</v>
      </c>
      <c r="H45">
        <v>0</v>
      </c>
      <c r="I45" s="6">
        <v>1.5580000000000001</v>
      </c>
      <c r="J45" s="6">
        <v>1.5580000000000001</v>
      </c>
      <c r="K45" s="6">
        <v>3.351</v>
      </c>
      <c r="L45" s="6">
        <v>1</v>
      </c>
      <c r="M45" s="6">
        <v>1</v>
      </c>
      <c r="N45">
        <v>1.8720000000000001</v>
      </c>
      <c r="O45">
        <v>1.8720000000000001</v>
      </c>
      <c r="P45">
        <v>2.702</v>
      </c>
      <c r="Q45">
        <v>1</v>
      </c>
      <c r="R45">
        <v>1</v>
      </c>
      <c r="S45" s="7">
        <v>2.1</v>
      </c>
      <c r="T45" s="7">
        <v>2.1</v>
      </c>
      <c r="U45" s="7">
        <v>4.3410000000000002</v>
      </c>
      <c r="V45" s="7">
        <v>1</v>
      </c>
      <c r="W45" s="10">
        <v>1</v>
      </c>
      <c r="X45">
        <v>5.5419999999999998</v>
      </c>
      <c r="Y45">
        <v>5.5419999999999998</v>
      </c>
      <c r="Z45">
        <v>7.2969999999999997</v>
      </c>
      <c r="AA45">
        <v>1</v>
      </c>
      <c r="AB45">
        <v>1</v>
      </c>
      <c r="AC45" s="10">
        <v>1.4179999999999999</v>
      </c>
      <c r="AD45" s="10">
        <v>1.4179999999999999</v>
      </c>
      <c r="AE45" s="10">
        <v>2.5510000000000002</v>
      </c>
      <c r="AF45" s="10">
        <v>1</v>
      </c>
      <c r="AG45" s="10">
        <v>1</v>
      </c>
      <c r="AH45">
        <v>1.667</v>
      </c>
      <c r="AI45">
        <v>1.667</v>
      </c>
      <c r="AJ45">
        <v>3.0190000000000001</v>
      </c>
      <c r="AK45">
        <v>1</v>
      </c>
      <c r="AL45">
        <v>1</v>
      </c>
      <c r="AM45" s="10">
        <v>2.1110000000000002</v>
      </c>
      <c r="AN45" s="10">
        <v>2.1110000000000002</v>
      </c>
      <c r="AO45" s="10">
        <v>2.9729999999999999</v>
      </c>
      <c r="AP45" s="10">
        <v>1</v>
      </c>
      <c r="AQ45" s="10">
        <v>1</v>
      </c>
      <c r="AR45">
        <v>1.7090000000000001</v>
      </c>
      <c r="AS45">
        <v>1.7090000000000001</v>
      </c>
      <c r="AT45">
        <v>2.9089999999999998</v>
      </c>
      <c r="AU45">
        <v>1</v>
      </c>
      <c r="AV45">
        <v>1</v>
      </c>
    </row>
    <row r="46" spans="1:48" x14ac:dyDescent="0.2">
      <c r="A46" t="s">
        <v>88</v>
      </c>
      <c r="B46" t="s">
        <v>89</v>
      </c>
      <c r="C46">
        <v>7278260</v>
      </c>
      <c r="D46">
        <v>186</v>
      </c>
      <c r="E46">
        <v>0</v>
      </c>
      <c r="F46">
        <v>0</v>
      </c>
      <c r="G46">
        <v>71.501000000000005</v>
      </c>
      <c r="H46">
        <v>0</v>
      </c>
      <c r="I46" s="6">
        <v>0.96499999999999997</v>
      </c>
      <c r="J46" s="6">
        <v>0.96499999999999997</v>
      </c>
      <c r="K46" s="6">
        <v>1.752</v>
      </c>
      <c r="L46" s="6">
        <v>1</v>
      </c>
      <c r="M46" s="6">
        <v>1</v>
      </c>
      <c r="N46">
        <v>0.84299999999999997</v>
      </c>
      <c r="O46">
        <v>0.84299999999999997</v>
      </c>
      <c r="P46">
        <v>1.6930000000000001</v>
      </c>
      <c r="Q46">
        <v>1</v>
      </c>
      <c r="R46">
        <v>1</v>
      </c>
      <c r="S46" s="7">
        <v>4.2809999999999997</v>
      </c>
      <c r="T46" s="7">
        <v>4.2809999999999997</v>
      </c>
      <c r="U46" s="7">
        <v>6.4429999999999996</v>
      </c>
      <c r="V46" s="7">
        <v>1</v>
      </c>
      <c r="W46" s="10">
        <v>0</v>
      </c>
      <c r="X46">
        <v>1.327</v>
      </c>
      <c r="Y46">
        <v>1.327</v>
      </c>
      <c r="Z46">
        <v>2.1120000000000001</v>
      </c>
      <c r="AA46">
        <v>1</v>
      </c>
      <c r="AB46">
        <v>1</v>
      </c>
      <c r="AC46" s="10">
        <v>1.171</v>
      </c>
      <c r="AD46" s="10">
        <v>1.171</v>
      </c>
      <c r="AE46" s="10">
        <v>2.2040000000000002</v>
      </c>
      <c r="AF46" s="10">
        <v>1</v>
      </c>
      <c r="AG46" s="10">
        <v>1</v>
      </c>
      <c r="AH46">
        <v>0.70499999999999996</v>
      </c>
      <c r="AI46">
        <v>0.70499999999999996</v>
      </c>
      <c r="AJ46">
        <v>1.5049999999999999</v>
      </c>
      <c r="AK46">
        <v>1</v>
      </c>
      <c r="AL46">
        <v>1</v>
      </c>
      <c r="AM46" s="10">
        <v>1.083</v>
      </c>
      <c r="AN46" s="10">
        <v>1.083</v>
      </c>
      <c r="AO46" s="10">
        <v>1.8</v>
      </c>
      <c r="AP46" s="10">
        <v>1</v>
      </c>
      <c r="AQ46" s="10">
        <v>1</v>
      </c>
      <c r="AR46">
        <v>0.624</v>
      </c>
      <c r="AS46">
        <v>0.624</v>
      </c>
      <c r="AT46">
        <v>1.476</v>
      </c>
      <c r="AU46">
        <v>1</v>
      </c>
      <c r="AV46">
        <v>1</v>
      </c>
    </row>
    <row r="47" spans="1:48" x14ac:dyDescent="0.2">
      <c r="A47" s="3" t="s">
        <v>90</v>
      </c>
      <c r="B47" s="3" t="s">
        <v>91</v>
      </c>
      <c r="C47" s="3">
        <v>4111092</v>
      </c>
      <c r="D47" s="3">
        <v>387</v>
      </c>
      <c r="E47" s="3">
        <v>0</v>
      </c>
      <c r="F47" s="3">
        <v>0</v>
      </c>
      <c r="G47" s="3">
        <v>149.20099999999999</v>
      </c>
      <c r="H47" s="3">
        <v>0</v>
      </c>
      <c r="I47" s="6">
        <v>1.429</v>
      </c>
      <c r="J47" s="6">
        <v>1.429</v>
      </c>
      <c r="K47" s="6">
        <v>2.1930000000000001</v>
      </c>
      <c r="L47" s="6">
        <v>1</v>
      </c>
      <c r="M47" s="6">
        <v>1</v>
      </c>
      <c r="N47" s="3">
        <v>2.5630000000000002</v>
      </c>
      <c r="O47" s="3">
        <v>3.4159999999999999</v>
      </c>
      <c r="P47" s="3">
        <v>4.2729999999999997</v>
      </c>
      <c r="Q47" s="3">
        <v>3</v>
      </c>
      <c r="R47">
        <v>1</v>
      </c>
      <c r="S47" s="7">
        <v>0.76</v>
      </c>
      <c r="T47" s="7">
        <v>2.1059999999999999</v>
      </c>
      <c r="U47" s="7">
        <v>2.9020000000000001</v>
      </c>
      <c r="V47" s="7">
        <v>3</v>
      </c>
      <c r="W47" s="10">
        <v>0</v>
      </c>
      <c r="X47" s="3">
        <v>68.844999999999999</v>
      </c>
      <c r="Y47" s="3">
        <v>69.203999999999994</v>
      </c>
      <c r="Z47" s="3">
        <v>69.47</v>
      </c>
      <c r="AA47" s="3">
        <v>2</v>
      </c>
      <c r="AB47">
        <v>0</v>
      </c>
      <c r="AC47" s="12">
        <v>0.46600000000000003</v>
      </c>
      <c r="AD47" s="12">
        <v>0.46600000000000003</v>
      </c>
      <c r="AE47" s="12">
        <v>1.177</v>
      </c>
      <c r="AF47" s="12">
        <v>1</v>
      </c>
      <c r="AG47" s="10">
        <v>1</v>
      </c>
      <c r="AH47" s="3">
        <v>0.75700000000000001</v>
      </c>
      <c r="AI47" s="3">
        <v>1.3740000000000001</v>
      </c>
      <c r="AJ47" s="3">
        <v>1.6</v>
      </c>
      <c r="AK47" s="3">
        <v>2</v>
      </c>
      <c r="AL47">
        <v>1</v>
      </c>
      <c r="AM47" s="12">
        <v>0.68500000000000005</v>
      </c>
      <c r="AN47" s="12">
        <v>1.488</v>
      </c>
      <c r="AO47" s="12">
        <v>1.9059999999999999</v>
      </c>
      <c r="AP47" s="12">
        <v>2</v>
      </c>
      <c r="AQ47" s="10">
        <v>1</v>
      </c>
      <c r="AR47" s="3">
        <v>0.93700000000000006</v>
      </c>
      <c r="AS47" s="3">
        <v>1.4059999999999999</v>
      </c>
      <c r="AT47" s="3">
        <v>1.627</v>
      </c>
      <c r="AU47" s="3">
        <v>2</v>
      </c>
      <c r="AV47">
        <v>0</v>
      </c>
    </row>
    <row r="48" spans="1:48" x14ac:dyDescent="0.2">
      <c r="A48" t="s">
        <v>92</v>
      </c>
      <c r="B48" t="s">
        <v>93</v>
      </c>
      <c r="C48">
        <v>7831763</v>
      </c>
      <c r="D48">
        <v>169</v>
      </c>
      <c r="E48">
        <v>0</v>
      </c>
      <c r="F48">
        <v>0</v>
      </c>
      <c r="G48">
        <v>59.088000000000001</v>
      </c>
      <c r="H48">
        <v>0</v>
      </c>
      <c r="I48" s="6">
        <v>0.85499999999999998</v>
      </c>
      <c r="J48" s="6">
        <v>0.85499999999999998</v>
      </c>
      <c r="K48" s="6">
        <v>1.784</v>
      </c>
      <c r="L48" s="6">
        <v>1</v>
      </c>
      <c r="M48" s="6">
        <v>1</v>
      </c>
      <c r="N48">
        <v>2.331</v>
      </c>
      <c r="O48">
        <v>2.331</v>
      </c>
      <c r="P48">
        <v>6.5759999999999996</v>
      </c>
      <c r="Q48">
        <v>1</v>
      </c>
      <c r="R48">
        <v>1</v>
      </c>
      <c r="S48" s="7">
        <v>1.929</v>
      </c>
      <c r="T48" s="7">
        <v>1.929</v>
      </c>
      <c r="U48" s="7">
        <v>2.8439999999999999</v>
      </c>
      <c r="V48" s="7">
        <v>1</v>
      </c>
      <c r="W48" s="10">
        <v>1</v>
      </c>
      <c r="X48">
        <v>2.6459999999999999</v>
      </c>
      <c r="Y48">
        <v>2.6459999999999999</v>
      </c>
      <c r="Z48">
        <v>3.649</v>
      </c>
      <c r="AA48">
        <v>1</v>
      </c>
      <c r="AB48">
        <v>1</v>
      </c>
      <c r="AC48" s="10">
        <v>0.96899999999999997</v>
      </c>
      <c r="AD48" s="10">
        <v>0.96899999999999997</v>
      </c>
      <c r="AE48" s="10">
        <v>1.7390000000000001</v>
      </c>
      <c r="AF48" s="10">
        <v>1</v>
      </c>
      <c r="AG48" s="10">
        <v>1</v>
      </c>
      <c r="AH48">
        <v>0.72799999999999998</v>
      </c>
      <c r="AI48">
        <v>0.72799999999999998</v>
      </c>
      <c r="AJ48">
        <v>1.5469999999999999</v>
      </c>
      <c r="AK48">
        <v>1</v>
      </c>
      <c r="AL48">
        <v>1</v>
      </c>
      <c r="AM48" s="10">
        <v>1.33</v>
      </c>
      <c r="AN48" s="10">
        <v>1.33</v>
      </c>
      <c r="AO48" s="10">
        <v>2.0190000000000001</v>
      </c>
      <c r="AP48" s="10">
        <v>1</v>
      </c>
      <c r="AQ48" s="10">
        <v>1</v>
      </c>
      <c r="AR48">
        <v>0.75</v>
      </c>
      <c r="AS48">
        <v>0.75</v>
      </c>
      <c r="AT48">
        <v>1.548</v>
      </c>
      <c r="AU48">
        <v>1</v>
      </c>
      <c r="AV48">
        <v>1</v>
      </c>
    </row>
    <row r="49" spans="1:48" x14ac:dyDescent="0.2">
      <c r="A49" s="4" t="s">
        <v>95</v>
      </c>
      <c r="B49" s="4" t="s">
        <v>96</v>
      </c>
      <c r="C49" s="4">
        <v>6934984</v>
      </c>
      <c r="D49" s="4">
        <v>236</v>
      </c>
      <c r="E49" s="4">
        <v>0</v>
      </c>
      <c r="F49" s="4">
        <v>0</v>
      </c>
      <c r="G49" s="4">
        <v>59.261000000000003</v>
      </c>
      <c r="H49" s="4">
        <v>0</v>
      </c>
      <c r="I49" s="6">
        <v>2.5419999999999998</v>
      </c>
      <c r="J49" s="6">
        <v>2.5419999999999998</v>
      </c>
      <c r="K49" s="6">
        <v>3.61</v>
      </c>
      <c r="L49" s="6">
        <v>1</v>
      </c>
      <c r="M49" s="6">
        <v>1</v>
      </c>
      <c r="N49" s="4">
        <v>1.3069999999999999</v>
      </c>
      <c r="O49" s="4">
        <v>1.3069999999999999</v>
      </c>
      <c r="P49" s="4">
        <v>2.6760000000000002</v>
      </c>
      <c r="Q49" s="4">
        <v>1</v>
      </c>
      <c r="R49">
        <v>0</v>
      </c>
      <c r="S49" s="7">
        <v>1.194</v>
      </c>
      <c r="T49" s="7">
        <v>1.577</v>
      </c>
      <c r="U49" s="7">
        <v>2.367</v>
      </c>
      <c r="V49" s="7">
        <v>2</v>
      </c>
      <c r="W49" s="10">
        <v>1</v>
      </c>
      <c r="X49" s="4">
        <v>4.2880000000000003</v>
      </c>
      <c r="Y49" s="4">
        <v>4.2880000000000003</v>
      </c>
      <c r="Z49" s="4">
        <v>5.5750000000000002</v>
      </c>
      <c r="AA49" s="4">
        <v>1</v>
      </c>
      <c r="AB49">
        <v>0</v>
      </c>
      <c r="AC49" s="11">
        <v>2.181</v>
      </c>
      <c r="AD49" s="11">
        <v>2.181</v>
      </c>
      <c r="AE49" s="11">
        <v>3.141</v>
      </c>
      <c r="AF49" s="11">
        <v>1</v>
      </c>
      <c r="AG49" s="10">
        <v>1</v>
      </c>
      <c r="AH49" s="4">
        <v>1.3180000000000001</v>
      </c>
      <c r="AI49" s="4">
        <v>1.3180000000000001</v>
      </c>
      <c r="AJ49" s="4">
        <v>2.3420000000000001</v>
      </c>
      <c r="AK49" s="4">
        <v>1</v>
      </c>
      <c r="AL49">
        <v>1</v>
      </c>
      <c r="AM49" s="11">
        <v>2.9</v>
      </c>
      <c r="AN49" s="11">
        <v>2.9</v>
      </c>
      <c r="AO49" s="11">
        <v>4.3879999999999999</v>
      </c>
      <c r="AP49" s="11">
        <v>1</v>
      </c>
      <c r="AQ49" s="10">
        <v>0</v>
      </c>
      <c r="AR49" s="4">
        <v>8.5139999999999993</v>
      </c>
      <c r="AS49" s="4">
        <v>8.5139999999999993</v>
      </c>
      <c r="AT49" s="4">
        <v>9.56</v>
      </c>
      <c r="AU49" s="4">
        <v>1</v>
      </c>
      <c r="AV49">
        <v>1</v>
      </c>
    </row>
    <row r="50" spans="1:48" x14ac:dyDescent="0.2">
      <c r="A50" t="s">
        <v>97</v>
      </c>
      <c r="B50" t="s">
        <v>98</v>
      </c>
      <c r="C50">
        <v>6567507</v>
      </c>
      <c r="D50">
        <v>262</v>
      </c>
      <c r="E50">
        <v>0</v>
      </c>
      <c r="F50">
        <v>0</v>
      </c>
      <c r="G50">
        <v>64.400000000000006</v>
      </c>
      <c r="H50">
        <v>0</v>
      </c>
      <c r="I50" s="6">
        <v>1.006</v>
      </c>
      <c r="J50" s="6">
        <v>1.006</v>
      </c>
      <c r="K50" s="6">
        <v>2.665</v>
      </c>
      <c r="L50" s="6">
        <v>1</v>
      </c>
      <c r="M50" s="6">
        <v>1</v>
      </c>
      <c r="N50">
        <v>3.4929999999999999</v>
      </c>
      <c r="O50">
        <v>3.4929999999999999</v>
      </c>
      <c r="P50">
        <v>5.6369999999999996</v>
      </c>
      <c r="Q50">
        <v>1</v>
      </c>
      <c r="R50">
        <v>1</v>
      </c>
      <c r="S50" s="7">
        <v>1.5620000000000001</v>
      </c>
      <c r="T50" s="7">
        <v>1.5620000000000001</v>
      </c>
      <c r="U50" s="7">
        <v>3.2869999999999999</v>
      </c>
      <c r="V50" s="7">
        <v>1</v>
      </c>
      <c r="W50" s="10">
        <v>1</v>
      </c>
      <c r="X50">
        <v>2.1320000000000001</v>
      </c>
      <c r="Y50">
        <v>2.1320000000000001</v>
      </c>
      <c r="Z50">
        <v>3.9830000000000001</v>
      </c>
      <c r="AA50">
        <v>1</v>
      </c>
      <c r="AB50">
        <v>1</v>
      </c>
      <c r="AC50" s="10">
        <v>1.83</v>
      </c>
      <c r="AD50" s="10">
        <v>1.83</v>
      </c>
      <c r="AE50" s="10">
        <v>3.5529999999999999</v>
      </c>
      <c r="AF50" s="10">
        <v>1</v>
      </c>
      <c r="AG50" s="10">
        <v>1</v>
      </c>
      <c r="AH50">
        <v>2.35</v>
      </c>
      <c r="AI50">
        <v>2.35</v>
      </c>
      <c r="AJ50">
        <v>4.0460000000000003</v>
      </c>
      <c r="AK50">
        <v>1</v>
      </c>
      <c r="AL50">
        <v>1</v>
      </c>
      <c r="AM50" s="10">
        <v>0.998</v>
      </c>
      <c r="AN50" s="10">
        <v>0.998</v>
      </c>
      <c r="AO50" s="10">
        <v>2.6459999999999999</v>
      </c>
      <c r="AP50" s="10">
        <v>1</v>
      </c>
      <c r="AQ50" s="10">
        <v>1</v>
      </c>
      <c r="AR50">
        <v>1.129</v>
      </c>
      <c r="AS50">
        <v>1.129</v>
      </c>
      <c r="AT50">
        <v>2.859</v>
      </c>
      <c r="AU50">
        <v>1</v>
      </c>
      <c r="AV50">
        <v>1</v>
      </c>
    </row>
    <row r="51" spans="1:48" x14ac:dyDescent="0.2">
      <c r="A51" t="s">
        <v>99</v>
      </c>
      <c r="B51" t="s">
        <v>100</v>
      </c>
      <c r="C51">
        <v>7841374</v>
      </c>
      <c r="D51">
        <v>261</v>
      </c>
      <c r="E51">
        <v>0</v>
      </c>
      <c r="F51">
        <v>0</v>
      </c>
      <c r="G51">
        <v>64.415999999999997</v>
      </c>
      <c r="H51">
        <v>0</v>
      </c>
      <c r="I51" s="6">
        <v>0.97799999999999998</v>
      </c>
      <c r="J51" s="6">
        <v>0.97799999999999998</v>
      </c>
      <c r="K51" s="6">
        <v>2.2919999999999998</v>
      </c>
      <c r="L51" s="6">
        <v>1</v>
      </c>
      <c r="M51" s="6">
        <v>0</v>
      </c>
      <c r="N51">
        <v>1.1000000000000001</v>
      </c>
      <c r="O51">
        <v>1.1000000000000001</v>
      </c>
      <c r="P51">
        <v>2.8769999999999998</v>
      </c>
      <c r="Q51">
        <v>1</v>
      </c>
      <c r="R51">
        <v>0</v>
      </c>
      <c r="S51" s="7">
        <v>2.85</v>
      </c>
      <c r="T51" s="7">
        <v>2.85</v>
      </c>
      <c r="U51" s="7">
        <v>4.9640000000000004</v>
      </c>
      <c r="V51" s="7">
        <v>1</v>
      </c>
      <c r="W51" s="10">
        <v>1</v>
      </c>
      <c r="X51">
        <v>1.9319999999999999</v>
      </c>
      <c r="Y51">
        <v>1.9319999999999999</v>
      </c>
      <c r="Z51">
        <v>6.9770000000000003</v>
      </c>
      <c r="AA51">
        <v>1</v>
      </c>
      <c r="AB51">
        <v>1</v>
      </c>
      <c r="AC51" s="10">
        <v>2.101</v>
      </c>
      <c r="AD51" s="10">
        <v>2.101</v>
      </c>
      <c r="AE51" s="10">
        <v>4.4560000000000004</v>
      </c>
      <c r="AF51" s="10">
        <v>1</v>
      </c>
      <c r="AG51" s="10">
        <v>1</v>
      </c>
      <c r="AH51">
        <v>2.5299999999999998</v>
      </c>
      <c r="AI51">
        <v>2.5299999999999998</v>
      </c>
      <c r="AJ51">
        <v>4.101</v>
      </c>
      <c r="AK51">
        <v>1</v>
      </c>
      <c r="AL51">
        <v>1</v>
      </c>
      <c r="AM51" s="10">
        <v>2.8580000000000001</v>
      </c>
      <c r="AN51" s="10">
        <v>4.0049999999999999</v>
      </c>
      <c r="AO51" s="10">
        <v>5.6710000000000003</v>
      </c>
      <c r="AP51" s="10">
        <v>2</v>
      </c>
      <c r="AQ51" s="10">
        <v>1</v>
      </c>
      <c r="AR51">
        <v>2.5009999999999999</v>
      </c>
      <c r="AS51">
        <v>2.5009999999999999</v>
      </c>
      <c r="AT51">
        <v>3.9689999999999999</v>
      </c>
      <c r="AU51">
        <v>1</v>
      </c>
      <c r="AV51">
        <v>0</v>
      </c>
    </row>
    <row r="52" spans="1:48" x14ac:dyDescent="0.2">
      <c r="A52" t="s">
        <v>101</v>
      </c>
      <c r="B52" t="s">
        <v>102</v>
      </c>
      <c r="C52">
        <v>1466713</v>
      </c>
      <c r="D52">
        <v>152</v>
      </c>
      <c r="E52">
        <v>0</v>
      </c>
      <c r="F52">
        <v>0</v>
      </c>
      <c r="G52">
        <v>59.107999999999997</v>
      </c>
      <c r="H52">
        <v>0</v>
      </c>
      <c r="I52" s="6">
        <v>0.438</v>
      </c>
      <c r="J52" s="6">
        <v>0.438</v>
      </c>
      <c r="K52" s="6">
        <v>1.0820000000000001</v>
      </c>
      <c r="L52" s="6">
        <v>1</v>
      </c>
      <c r="M52" s="6">
        <v>1</v>
      </c>
      <c r="N52">
        <v>0.56499999999999995</v>
      </c>
      <c r="O52">
        <v>0.56499999999999995</v>
      </c>
      <c r="P52">
        <v>2.867</v>
      </c>
      <c r="Q52">
        <v>1</v>
      </c>
      <c r="R52">
        <v>0</v>
      </c>
      <c r="S52" s="7">
        <v>3.794</v>
      </c>
      <c r="T52" s="7">
        <v>3.794</v>
      </c>
      <c r="U52" s="7">
        <v>4.5759999999999996</v>
      </c>
      <c r="V52" s="7">
        <v>1</v>
      </c>
      <c r="W52" s="10">
        <v>0</v>
      </c>
      <c r="X52">
        <v>0.749</v>
      </c>
      <c r="Y52">
        <v>0.749</v>
      </c>
      <c r="Z52">
        <v>1.3069999999999999</v>
      </c>
      <c r="AA52">
        <v>1</v>
      </c>
      <c r="AB52">
        <v>0</v>
      </c>
      <c r="AC52" s="10">
        <v>0.308</v>
      </c>
      <c r="AD52" s="10">
        <v>2.2149999999999999</v>
      </c>
      <c r="AE52" s="10">
        <v>2.5830000000000002</v>
      </c>
      <c r="AF52" s="10">
        <v>2</v>
      </c>
      <c r="AG52" s="10">
        <v>1</v>
      </c>
      <c r="AH52">
        <v>0.53600000000000003</v>
      </c>
      <c r="AI52">
        <v>1.04</v>
      </c>
      <c r="AJ52">
        <v>1.6659999999999999</v>
      </c>
      <c r="AK52">
        <v>2</v>
      </c>
      <c r="AL52">
        <v>1</v>
      </c>
      <c r="AM52" s="10">
        <v>0.61799999999999999</v>
      </c>
      <c r="AN52" s="10">
        <v>0.61799999999999999</v>
      </c>
      <c r="AO52" s="10">
        <v>1.276</v>
      </c>
      <c r="AP52" s="10">
        <v>1</v>
      </c>
      <c r="AQ52" s="10">
        <v>0</v>
      </c>
      <c r="AR52">
        <v>0.32800000000000001</v>
      </c>
      <c r="AS52">
        <v>0.85299999999999998</v>
      </c>
      <c r="AT52">
        <v>1.022</v>
      </c>
      <c r="AU52">
        <v>2</v>
      </c>
      <c r="AV52">
        <v>1</v>
      </c>
    </row>
    <row r="53" spans="1:48" x14ac:dyDescent="0.2">
      <c r="A53" t="s">
        <v>103</v>
      </c>
      <c r="B53" t="s">
        <v>104</v>
      </c>
      <c r="C53">
        <v>1313472</v>
      </c>
      <c r="D53">
        <v>135</v>
      </c>
      <c r="E53">
        <v>5.74</v>
      </c>
      <c r="F53">
        <v>5.74</v>
      </c>
      <c r="G53">
        <v>58.98</v>
      </c>
      <c r="H53">
        <v>1</v>
      </c>
      <c r="I53" s="6">
        <v>0.91700000000000004</v>
      </c>
      <c r="J53" s="6">
        <v>0.91700000000000004</v>
      </c>
      <c r="K53" s="6">
        <v>1.77</v>
      </c>
      <c r="L53" s="6">
        <v>1</v>
      </c>
      <c r="M53" s="6">
        <v>1</v>
      </c>
      <c r="N53">
        <v>0.68200000000000005</v>
      </c>
      <c r="O53">
        <v>0.68200000000000005</v>
      </c>
      <c r="P53">
        <v>3.1760000000000002</v>
      </c>
      <c r="Q53">
        <v>1</v>
      </c>
      <c r="R53">
        <v>1</v>
      </c>
      <c r="S53" s="7">
        <v>1.41</v>
      </c>
      <c r="T53" s="7">
        <v>1.41</v>
      </c>
      <c r="U53" s="7">
        <v>3.8010000000000002</v>
      </c>
      <c r="V53" s="7">
        <v>1</v>
      </c>
      <c r="W53" s="10">
        <v>1</v>
      </c>
      <c r="X53">
        <v>1.96</v>
      </c>
      <c r="Y53">
        <v>1.96</v>
      </c>
      <c r="Z53">
        <v>4.5179999999999998</v>
      </c>
      <c r="AA53">
        <v>1</v>
      </c>
      <c r="AB53">
        <v>1</v>
      </c>
      <c r="AC53" s="10">
        <v>0.86</v>
      </c>
      <c r="AD53" s="10">
        <v>0.86</v>
      </c>
      <c r="AE53" s="10">
        <v>1.889</v>
      </c>
      <c r="AF53" s="10">
        <v>1</v>
      </c>
      <c r="AG53" s="10">
        <v>1</v>
      </c>
      <c r="AH53">
        <v>0.70699999999999996</v>
      </c>
      <c r="AI53">
        <v>2.173</v>
      </c>
      <c r="AJ53">
        <v>3.0049999999999999</v>
      </c>
      <c r="AK53">
        <v>3</v>
      </c>
      <c r="AL53">
        <v>1</v>
      </c>
      <c r="AM53" s="10">
        <v>1.2509999999999999</v>
      </c>
      <c r="AN53" s="10">
        <v>1.2509999999999999</v>
      </c>
      <c r="AO53" s="10">
        <v>4.9939999999999998</v>
      </c>
      <c r="AP53" s="10">
        <v>1</v>
      </c>
      <c r="AQ53" s="10">
        <v>1</v>
      </c>
      <c r="AR53">
        <v>1.0129999999999999</v>
      </c>
      <c r="AS53">
        <v>1.0129999999999999</v>
      </c>
      <c r="AT53">
        <v>2.157</v>
      </c>
      <c r="AU53">
        <v>1</v>
      </c>
      <c r="AV53">
        <v>1</v>
      </c>
    </row>
    <row r="54" spans="1:48" x14ac:dyDescent="0.2">
      <c r="A54" t="s">
        <v>105</v>
      </c>
      <c r="B54" t="s">
        <v>106</v>
      </c>
      <c r="C54">
        <v>8132521</v>
      </c>
      <c r="D54">
        <v>264</v>
      </c>
      <c r="E54">
        <v>0</v>
      </c>
      <c r="F54">
        <v>0</v>
      </c>
      <c r="G54">
        <v>62.16</v>
      </c>
      <c r="H54">
        <v>0</v>
      </c>
      <c r="I54" s="6">
        <v>1.798</v>
      </c>
      <c r="J54" s="6">
        <v>1.798</v>
      </c>
      <c r="K54" s="6">
        <v>4.4850000000000003</v>
      </c>
      <c r="L54" s="6">
        <v>1</v>
      </c>
      <c r="M54" s="6">
        <v>1</v>
      </c>
      <c r="N54">
        <v>1.9990000000000001</v>
      </c>
      <c r="O54">
        <v>6.0339999999999998</v>
      </c>
      <c r="P54">
        <v>7.6219999999999999</v>
      </c>
      <c r="Q54">
        <v>3</v>
      </c>
      <c r="R54">
        <v>1</v>
      </c>
      <c r="S54" s="7">
        <v>1.952</v>
      </c>
      <c r="T54" s="7">
        <v>1.952</v>
      </c>
      <c r="U54" s="7">
        <v>5.415</v>
      </c>
      <c r="V54" s="7">
        <v>1</v>
      </c>
      <c r="W54" s="10">
        <v>1</v>
      </c>
      <c r="X54">
        <v>2.9849999999999999</v>
      </c>
      <c r="Y54">
        <v>7.0759999999999996</v>
      </c>
      <c r="Z54">
        <v>8.74</v>
      </c>
      <c r="AA54">
        <v>3</v>
      </c>
      <c r="AB54">
        <v>1</v>
      </c>
      <c r="AC54" s="10">
        <v>2.839</v>
      </c>
      <c r="AD54" s="10">
        <v>6.3239999999999998</v>
      </c>
      <c r="AE54" s="10">
        <v>7.891</v>
      </c>
      <c r="AF54" s="10">
        <v>2</v>
      </c>
      <c r="AG54" s="10">
        <v>1</v>
      </c>
      <c r="AH54">
        <v>1.661</v>
      </c>
      <c r="AI54">
        <v>1.661</v>
      </c>
      <c r="AJ54">
        <v>3.7360000000000002</v>
      </c>
      <c r="AK54">
        <v>1</v>
      </c>
      <c r="AL54">
        <v>1</v>
      </c>
      <c r="AM54" s="10">
        <v>2.016</v>
      </c>
      <c r="AN54" s="10">
        <v>2.016</v>
      </c>
      <c r="AO54" s="10">
        <v>3.5710000000000002</v>
      </c>
      <c r="AP54" s="10">
        <v>1</v>
      </c>
      <c r="AQ54" s="10">
        <v>0</v>
      </c>
      <c r="AR54">
        <v>1.7669999999999999</v>
      </c>
      <c r="AS54">
        <v>1.7669999999999999</v>
      </c>
      <c r="AT54">
        <v>4.0670000000000002</v>
      </c>
      <c r="AU54">
        <v>1</v>
      </c>
      <c r="AV54">
        <v>1</v>
      </c>
    </row>
    <row r="55" spans="1:48" x14ac:dyDescent="0.2">
      <c r="A55" t="s">
        <v>107</v>
      </c>
      <c r="B55" t="s">
        <v>108</v>
      </c>
      <c r="C55">
        <v>2382162</v>
      </c>
      <c r="D55">
        <v>176</v>
      </c>
      <c r="E55">
        <v>59.186</v>
      </c>
      <c r="F55">
        <v>59.186</v>
      </c>
      <c r="G55">
        <v>60.462000000000003</v>
      </c>
      <c r="H55">
        <v>1</v>
      </c>
      <c r="I55" s="6">
        <v>5.6070000000000002</v>
      </c>
      <c r="J55" s="6">
        <v>5.6070000000000002</v>
      </c>
      <c r="K55" s="6">
        <v>7.04</v>
      </c>
      <c r="L55" s="6">
        <v>1</v>
      </c>
      <c r="M55" s="6">
        <v>0</v>
      </c>
      <c r="N55">
        <v>5.2619999999999996</v>
      </c>
      <c r="O55">
        <v>14.157</v>
      </c>
      <c r="P55">
        <v>15.416</v>
      </c>
      <c r="Q55">
        <v>6</v>
      </c>
      <c r="R55">
        <v>0</v>
      </c>
      <c r="S55" s="7">
        <v>3.8079999999999998</v>
      </c>
      <c r="T55" s="7">
        <v>3.8079999999999998</v>
      </c>
      <c r="U55" s="7">
        <v>5.2160000000000002</v>
      </c>
      <c r="V55" s="7">
        <v>1</v>
      </c>
      <c r="W55" s="10">
        <v>0</v>
      </c>
      <c r="X55">
        <v>4.0330000000000004</v>
      </c>
      <c r="Y55">
        <v>4.0330000000000004</v>
      </c>
      <c r="Z55">
        <v>5.2220000000000004</v>
      </c>
      <c r="AA55">
        <v>1</v>
      </c>
      <c r="AB55">
        <v>0</v>
      </c>
      <c r="AC55" s="10">
        <v>3.0329999999999999</v>
      </c>
      <c r="AD55" s="10">
        <v>3.0329999999999999</v>
      </c>
      <c r="AE55" s="10">
        <v>4.4640000000000004</v>
      </c>
      <c r="AF55" s="10">
        <v>1</v>
      </c>
      <c r="AG55" s="10">
        <v>1</v>
      </c>
      <c r="AH55">
        <v>3.2109999999999999</v>
      </c>
      <c r="AI55">
        <v>3.2109999999999999</v>
      </c>
      <c r="AJ55">
        <v>4.7450000000000001</v>
      </c>
      <c r="AK55">
        <v>1</v>
      </c>
      <c r="AL55">
        <v>1</v>
      </c>
      <c r="AM55" s="10">
        <v>3.5489999999999999</v>
      </c>
      <c r="AN55" s="10">
        <v>3.5489999999999999</v>
      </c>
      <c r="AO55" s="10">
        <v>5.0209999999999999</v>
      </c>
      <c r="AP55" s="10">
        <v>1</v>
      </c>
      <c r="AQ55" s="10">
        <v>0</v>
      </c>
      <c r="AR55">
        <v>3.8010000000000002</v>
      </c>
      <c r="AS55">
        <v>3.8010000000000002</v>
      </c>
      <c r="AT55">
        <v>5.1379999999999999</v>
      </c>
      <c r="AU55">
        <v>1</v>
      </c>
      <c r="AV55">
        <v>1</v>
      </c>
    </row>
    <row r="56" spans="1:48" x14ac:dyDescent="0.2">
      <c r="A56" t="s">
        <v>109</v>
      </c>
      <c r="B56" t="s">
        <v>110</v>
      </c>
      <c r="C56">
        <v>6394049</v>
      </c>
      <c r="D56">
        <v>196</v>
      </c>
      <c r="E56">
        <v>0</v>
      </c>
      <c r="F56">
        <v>0</v>
      </c>
      <c r="G56">
        <v>67.221000000000004</v>
      </c>
      <c r="H56">
        <v>0</v>
      </c>
      <c r="I56" s="6">
        <v>2.988</v>
      </c>
      <c r="J56" s="6">
        <v>2.988</v>
      </c>
      <c r="K56" s="6">
        <v>8.1669999999999998</v>
      </c>
      <c r="L56" s="6">
        <v>1</v>
      </c>
      <c r="M56" s="6">
        <v>1</v>
      </c>
      <c r="N56">
        <v>1.7130000000000001</v>
      </c>
      <c r="O56">
        <v>1.7130000000000001</v>
      </c>
      <c r="P56">
        <v>3.6720000000000002</v>
      </c>
      <c r="Q56">
        <v>1</v>
      </c>
      <c r="R56">
        <v>0</v>
      </c>
      <c r="S56" s="7">
        <v>1.2310000000000001</v>
      </c>
      <c r="T56" s="7">
        <v>1.2310000000000001</v>
      </c>
      <c r="U56" s="7">
        <v>2.9750000000000001</v>
      </c>
      <c r="V56" s="7">
        <v>1</v>
      </c>
      <c r="W56" s="10">
        <v>1</v>
      </c>
      <c r="X56">
        <v>3.3980000000000001</v>
      </c>
      <c r="Y56">
        <v>3.3980000000000001</v>
      </c>
      <c r="Z56">
        <v>5.8890000000000002</v>
      </c>
      <c r="AA56">
        <v>1</v>
      </c>
      <c r="AB56">
        <v>1</v>
      </c>
      <c r="AC56" s="10">
        <v>2.2469999999999999</v>
      </c>
      <c r="AD56" s="10">
        <v>2.2469999999999999</v>
      </c>
      <c r="AE56" s="10">
        <v>3.8010000000000002</v>
      </c>
      <c r="AF56" s="10">
        <v>1</v>
      </c>
      <c r="AG56" s="10">
        <v>1</v>
      </c>
      <c r="AH56">
        <v>1.7</v>
      </c>
      <c r="AI56">
        <v>1.7</v>
      </c>
      <c r="AJ56">
        <v>3.04</v>
      </c>
      <c r="AK56">
        <v>1</v>
      </c>
      <c r="AL56">
        <v>1</v>
      </c>
      <c r="AM56" s="10">
        <v>1.992</v>
      </c>
      <c r="AN56" s="10">
        <v>1.992</v>
      </c>
      <c r="AO56" s="10">
        <v>3.2269999999999999</v>
      </c>
      <c r="AP56" s="10">
        <v>1</v>
      </c>
      <c r="AQ56" s="10">
        <v>1</v>
      </c>
      <c r="AR56">
        <v>1.7010000000000001</v>
      </c>
      <c r="AS56">
        <v>1.7010000000000001</v>
      </c>
      <c r="AT56">
        <v>3.125</v>
      </c>
      <c r="AU56">
        <v>1</v>
      </c>
      <c r="AV56">
        <v>1</v>
      </c>
    </row>
    <row r="57" spans="1:48" x14ac:dyDescent="0.2">
      <c r="A57" s="3" t="s">
        <v>111</v>
      </c>
      <c r="B57" s="3" t="s">
        <v>112</v>
      </c>
      <c r="C57" s="3">
        <v>7083942</v>
      </c>
      <c r="D57" s="3">
        <v>427</v>
      </c>
      <c r="E57" s="3">
        <v>13.451000000000001</v>
      </c>
      <c r="F57" s="3">
        <v>13.451000000000001</v>
      </c>
      <c r="G57" s="3">
        <v>74.819999999999993</v>
      </c>
      <c r="H57" s="3">
        <v>1</v>
      </c>
      <c r="I57" s="6">
        <v>3.5609999999999999</v>
      </c>
      <c r="J57" s="6">
        <v>3.5609999999999999</v>
      </c>
      <c r="K57" s="6">
        <v>5.9669999999999996</v>
      </c>
      <c r="L57" s="6">
        <v>1</v>
      </c>
      <c r="M57" s="6">
        <v>1</v>
      </c>
      <c r="N57" s="3">
        <v>3.6680000000000001</v>
      </c>
      <c r="O57" s="3">
        <v>3.6680000000000001</v>
      </c>
      <c r="P57" s="3">
        <v>7.484</v>
      </c>
      <c r="Q57" s="3">
        <v>1</v>
      </c>
      <c r="R57">
        <v>1</v>
      </c>
      <c r="S57" s="7">
        <v>7.6630000000000003</v>
      </c>
      <c r="T57" s="7">
        <v>7.6630000000000003</v>
      </c>
      <c r="U57" s="7">
        <v>9.7010000000000005</v>
      </c>
      <c r="V57" s="7">
        <v>1</v>
      </c>
      <c r="W57" s="10">
        <v>1</v>
      </c>
      <c r="X57" s="3">
        <v>6.5860000000000003</v>
      </c>
      <c r="Y57" s="3">
        <v>6.5860000000000003</v>
      </c>
      <c r="Z57" s="3">
        <v>9.9629999999999992</v>
      </c>
      <c r="AA57" s="3">
        <v>1</v>
      </c>
      <c r="AB57">
        <v>1</v>
      </c>
      <c r="AC57" s="12">
        <v>6.55</v>
      </c>
      <c r="AD57" s="12">
        <v>6.55</v>
      </c>
      <c r="AE57" s="12">
        <v>9.3279999999999994</v>
      </c>
      <c r="AF57" s="12">
        <v>1</v>
      </c>
      <c r="AG57" s="10">
        <v>1</v>
      </c>
      <c r="AH57" s="3">
        <v>2.996</v>
      </c>
      <c r="AI57" s="3">
        <v>2.996</v>
      </c>
      <c r="AJ57" s="3">
        <v>5.3</v>
      </c>
      <c r="AK57" s="3">
        <v>1</v>
      </c>
      <c r="AL57">
        <v>1</v>
      </c>
      <c r="AM57" s="12">
        <v>3.9860000000000002</v>
      </c>
      <c r="AN57" s="12">
        <v>3.9860000000000002</v>
      </c>
      <c r="AO57" s="12">
        <v>6.2350000000000003</v>
      </c>
      <c r="AP57" s="12">
        <v>1</v>
      </c>
      <c r="AQ57" s="10">
        <v>1</v>
      </c>
      <c r="AR57" s="3">
        <v>2.4590000000000001</v>
      </c>
      <c r="AS57" s="3">
        <v>2.4590000000000001</v>
      </c>
      <c r="AT57" s="3">
        <v>7.8520000000000003</v>
      </c>
      <c r="AU57" s="3">
        <v>1</v>
      </c>
      <c r="AV57">
        <v>1</v>
      </c>
    </row>
    <row r="58" spans="1:48" x14ac:dyDescent="0.2">
      <c r="A58" t="s">
        <v>113</v>
      </c>
      <c r="B58">
        <v>3715</v>
      </c>
      <c r="C58">
        <v>2225706</v>
      </c>
      <c r="D58">
        <v>233</v>
      </c>
      <c r="E58">
        <v>13.555999999999999</v>
      </c>
      <c r="F58">
        <v>71.438000000000002</v>
      </c>
      <c r="G58">
        <v>72.287999999999997</v>
      </c>
      <c r="H58">
        <v>3</v>
      </c>
      <c r="I58" s="6">
        <v>0.93200000000000005</v>
      </c>
      <c r="J58" s="6">
        <v>0.93200000000000005</v>
      </c>
      <c r="K58" s="6">
        <v>1.8120000000000001</v>
      </c>
      <c r="L58" s="6">
        <v>1</v>
      </c>
      <c r="M58" s="6">
        <v>1</v>
      </c>
      <c r="N58">
        <v>1.6379999999999999</v>
      </c>
      <c r="O58">
        <v>1.6379999999999999</v>
      </c>
      <c r="P58">
        <v>3.0489999999999999</v>
      </c>
      <c r="Q58">
        <v>1</v>
      </c>
      <c r="R58">
        <v>1</v>
      </c>
      <c r="S58" s="7">
        <v>1.7170000000000001</v>
      </c>
      <c r="T58" s="7">
        <v>1.7170000000000001</v>
      </c>
      <c r="U58" s="7">
        <v>2.4540000000000002</v>
      </c>
      <c r="V58" s="7">
        <v>1</v>
      </c>
      <c r="W58" s="10">
        <v>1</v>
      </c>
      <c r="X58">
        <v>1.385</v>
      </c>
      <c r="Y58">
        <v>1.385</v>
      </c>
      <c r="Z58">
        <v>2.0409999999999999</v>
      </c>
      <c r="AA58">
        <v>1</v>
      </c>
      <c r="AB58">
        <v>1</v>
      </c>
      <c r="AC58" s="10">
        <v>1.9139999999999999</v>
      </c>
      <c r="AD58" s="10">
        <v>1.9139999999999999</v>
      </c>
      <c r="AE58" s="10">
        <v>2.5720000000000001</v>
      </c>
      <c r="AF58" s="10">
        <v>1</v>
      </c>
      <c r="AG58" s="10">
        <v>1</v>
      </c>
      <c r="AH58">
        <v>0.90200000000000002</v>
      </c>
      <c r="AI58">
        <v>0.90200000000000002</v>
      </c>
      <c r="AJ58">
        <v>2.19</v>
      </c>
      <c r="AK58">
        <v>1</v>
      </c>
      <c r="AL58">
        <v>0</v>
      </c>
      <c r="AM58" s="10">
        <v>0.82399999999999995</v>
      </c>
      <c r="AN58" s="10">
        <v>0.82399999999999995</v>
      </c>
      <c r="AO58" s="10">
        <v>1.528</v>
      </c>
      <c r="AP58" s="10">
        <v>1</v>
      </c>
      <c r="AQ58" s="10">
        <v>1</v>
      </c>
      <c r="AR58">
        <v>1.325</v>
      </c>
      <c r="AS58">
        <v>1.325</v>
      </c>
      <c r="AT58">
        <v>2.077</v>
      </c>
      <c r="AU58">
        <v>1</v>
      </c>
      <c r="AV58">
        <v>1</v>
      </c>
    </row>
    <row r="59" spans="1:48" x14ac:dyDescent="0.2">
      <c r="A59" t="s">
        <v>114</v>
      </c>
      <c r="B59" t="s">
        <v>115</v>
      </c>
      <c r="C59">
        <v>7525137</v>
      </c>
      <c r="D59">
        <v>164</v>
      </c>
      <c r="E59">
        <v>56.137999999999998</v>
      </c>
      <c r="F59">
        <v>56.137999999999998</v>
      </c>
      <c r="G59">
        <v>59.066000000000003</v>
      </c>
      <c r="H59">
        <v>1</v>
      </c>
      <c r="I59" s="6">
        <v>2.6749999999999998</v>
      </c>
      <c r="J59" s="6">
        <v>2.6749999999999998</v>
      </c>
      <c r="K59" s="6">
        <v>4.0679999999999996</v>
      </c>
      <c r="L59" s="6">
        <v>1</v>
      </c>
      <c r="M59" s="6">
        <v>1</v>
      </c>
      <c r="N59">
        <v>1.6970000000000001</v>
      </c>
      <c r="O59">
        <v>1.6970000000000001</v>
      </c>
      <c r="P59">
        <v>3.26</v>
      </c>
      <c r="Q59">
        <v>1</v>
      </c>
      <c r="R59">
        <v>1</v>
      </c>
      <c r="S59" s="7">
        <v>1.74</v>
      </c>
      <c r="T59" s="7">
        <v>1.74</v>
      </c>
      <c r="U59" s="7">
        <v>3.0419999999999998</v>
      </c>
      <c r="V59" s="7">
        <v>1</v>
      </c>
      <c r="W59" s="10">
        <v>0</v>
      </c>
      <c r="X59">
        <v>3.177</v>
      </c>
      <c r="Y59">
        <v>3.177</v>
      </c>
      <c r="Z59">
        <v>5.09</v>
      </c>
      <c r="AA59">
        <v>1</v>
      </c>
      <c r="AB59">
        <v>0</v>
      </c>
      <c r="AC59" s="10">
        <v>1.5960000000000001</v>
      </c>
      <c r="AD59" s="10">
        <v>1.5960000000000001</v>
      </c>
      <c r="AE59" s="10">
        <v>3.2519999999999998</v>
      </c>
      <c r="AF59" s="10">
        <v>1</v>
      </c>
      <c r="AG59" s="10">
        <v>1</v>
      </c>
      <c r="AH59">
        <v>1.504</v>
      </c>
      <c r="AI59">
        <v>1.504</v>
      </c>
      <c r="AJ59">
        <v>2.5960000000000001</v>
      </c>
      <c r="AK59">
        <v>1</v>
      </c>
      <c r="AL59">
        <v>1</v>
      </c>
      <c r="AM59" s="10">
        <v>3.4279999999999999</v>
      </c>
      <c r="AN59" s="10">
        <v>3.4279999999999999</v>
      </c>
      <c r="AO59" s="10">
        <v>4.5410000000000004</v>
      </c>
      <c r="AP59" s="10">
        <v>1</v>
      </c>
      <c r="AQ59" s="10">
        <v>1</v>
      </c>
      <c r="AR59">
        <v>1.556</v>
      </c>
      <c r="AS59">
        <v>1.556</v>
      </c>
      <c r="AT59">
        <v>3.7959999999999998</v>
      </c>
      <c r="AU59">
        <v>1</v>
      </c>
      <c r="AV59">
        <v>1</v>
      </c>
    </row>
    <row r="60" spans="1:48" x14ac:dyDescent="0.2">
      <c r="A60" t="s">
        <v>116</v>
      </c>
      <c r="B60" t="s">
        <v>117</v>
      </c>
      <c r="C60">
        <v>1512169</v>
      </c>
      <c r="D60">
        <v>217</v>
      </c>
      <c r="E60">
        <v>0</v>
      </c>
      <c r="F60">
        <v>0</v>
      </c>
      <c r="G60">
        <v>59.174999999999997</v>
      </c>
      <c r="H60">
        <v>0</v>
      </c>
      <c r="I60" s="6">
        <v>1.5760000000000001</v>
      </c>
      <c r="J60" s="6">
        <v>2.56</v>
      </c>
      <c r="K60" s="6">
        <v>3.1070000000000002</v>
      </c>
      <c r="L60" s="6">
        <v>2</v>
      </c>
      <c r="M60" s="6">
        <v>1</v>
      </c>
      <c r="N60">
        <v>3.2189999999999999</v>
      </c>
      <c r="O60">
        <v>3.2189999999999999</v>
      </c>
      <c r="P60">
        <v>3.9740000000000002</v>
      </c>
      <c r="Q60">
        <v>1</v>
      </c>
      <c r="R60">
        <v>1</v>
      </c>
      <c r="S60" s="7">
        <v>1.5509999999999999</v>
      </c>
      <c r="T60" s="7">
        <v>1.5509999999999999</v>
      </c>
      <c r="U60" s="7">
        <v>2.2730000000000001</v>
      </c>
      <c r="V60" s="7">
        <v>1</v>
      </c>
      <c r="W60" s="10">
        <v>1</v>
      </c>
      <c r="X60">
        <v>2.1</v>
      </c>
      <c r="Y60">
        <v>2.1</v>
      </c>
      <c r="Z60">
        <v>2.847</v>
      </c>
      <c r="AA60">
        <v>1</v>
      </c>
      <c r="AB60">
        <v>1</v>
      </c>
      <c r="AC60" s="10">
        <v>1.02</v>
      </c>
      <c r="AD60" s="10">
        <v>1.02</v>
      </c>
      <c r="AE60" s="10">
        <v>1.7869999999999999</v>
      </c>
      <c r="AF60" s="10">
        <v>1</v>
      </c>
      <c r="AG60" s="10">
        <v>1</v>
      </c>
      <c r="AH60">
        <v>1.1759999999999999</v>
      </c>
      <c r="AI60">
        <v>1.1759999999999999</v>
      </c>
      <c r="AJ60">
        <v>2.0649999999999999</v>
      </c>
      <c r="AK60">
        <v>1</v>
      </c>
      <c r="AL60">
        <v>1</v>
      </c>
      <c r="AM60" s="10">
        <v>1.857</v>
      </c>
      <c r="AN60" s="10">
        <v>2.496</v>
      </c>
      <c r="AO60" s="10">
        <v>2.875</v>
      </c>
      <c r="AP60" s="10">
        <v>2</v>
      </c>
      <c r="AQ60" s="10">
        <v>1</v>
      </c>
      <c r="AR60">
        <v>0.72399999999999998</v>
      </c>
      <c r="AS60">
        <v>0.72399999999999998</v>
      </c>
      <c r="AT60">
        <v>1.3979999999999999</v>
      </c>
      <c r="AU60">
        <v>1</v>
      </c>
      <c r="AV60">
        <v>1</v>
      </c>
    </row>
    <row r="61" spans="1:48" x14ac:dyDescent="0.2">
      <c r="A61" s="3" t="s">
        <v>118</v>
      </c>
      <c r="B61" s="3" t="s">
        <v>119</v>
      </c>
      <c r="C61" s="3">
        <v>964250</v>
      </c>
      <c r="D61" s="3">
        <v>375</v>
      </c>
      <c r="E61" s="3">
        <v>23.376999999999999</v>
      </c>
      <c r="F61" s="3">
        <v>84.111999999999995</v>
      </c>
      <c r="G61" s="3">
        <v>85.486000000000004</v>
      </c>
      <c r="H61" s="3">
        <v>2</v>
      </c>
      <c r="I61" s="6">
        <v>1.1020000000000001</v>
      </c>
      <c r="J61" s="6">
        <v>1.1020000000000001</v>
      </c>
      <c r="K61" s="6">
        <v>4.4109999999999996</v>
      </c>
      <c r="L61" s="6">
        <v>1</v>
      </c>
      <c r="M61" s="6">
        <v>1</v>
      </c>
      <c r="N61" s="3">
        <v>5.43</v>
      </c>
      <c r="O61" s="3">
        <v>5.43</v>
      </c>
      <c r="P61" s="3">
        <v>6.3490000000000002</v>
      </c>
      <c r="Q61" s="3">
        <v>1</v>
      </c>
      <c r="R61">
        <v>1</v>
      </c>
      <c r="S61" s="7">
        <v>3.6629999999999998</v>
      </c>
      <c r="T61" s="7">
        <v>3.6629999999999998</v>
      </c>
      <c r="U61" s="7">
        <v>4.3940000000000001</v>
      </c>
      <c r="V61" s="7">
        <v>1</v>
      </c>
      <c r="W61" s="10">
        <v>1</v>
      </c>
      <c r="X61" s="3">
        <v>4.242</v>
      </c>
      <c r="Y61" s="3">
        <v>4.242</v>
      </c>
      <c r="Z61" s="3">
        <v>5.2629999999999999</v>
      </c>
      <c r="AA61" s="3">
        <v>1</v>
      </c>
      <c r="AB61">
        <v>1</v>
      </c>
      <c r="AC61" s="12">
        <v>0.91100000000000003</v>
      </c>
      <c r="AD61" s="12">
        <v>0.91100000000000003</v>
      </c>
      <c r="AE61" s="12">
        <v>1.804</v>
      </c>
      <c r="AF61" s="12">
        <v>1</v>
      </c>
      <c r="AG61" s="10">
        <v>1</v>
      </c>
      <c r="AH61" s="3">
        <v>0.877</v>
      </c>
      <c r="AI61" s="3">
        <v>0.877</v>
      </c>
      <c r="AJ61" s="3">
        <v>2.33</v>
      </c>
      <c r="AK61" s="3">
        <v>1</v>
      </c>
      <c r="AL61">
        <v>1</v>
      </c>
      <c r="AM61" s="12">
        <v>1.0469999999999999</v>
      </c>
      <c r="AN61" s="12">
        <v>1.0469999999999999</v>
      </c>
      <c r="AO61" s="12">
        <v>2.0920000000000001</v>
      </c>
      <c r="AP61" s="12">
        <v>1</v>
      </c>
      <c r="AQ61" s="10">
        <v>1</v>
      </c>
      <c r="AR61" s="3">
        <v>0.73</v>
      </c>
      <c r="AS61" s="3">
        <v>0.73</v>
      </c>
      <c r="AT61" s="3">
        <v>1.59</v>
      </c>
      <c r="AU61" s="3">
        <v>1</v>
      </c>
      <c r="AV61">
        <v>1</v>
      </c>
    </row>
    <row r="62" spans="1:48" x14ac:dyDescent="0.2">
      <c r="A62" s="4" t="s">
        <v>120</v>
      </c>
      <c r="B62" s="4" t="s">
        <v>121</v>
      </c>
      <c r="C62" s="4">
        <v>6892710</v>
      </c>
      <c r="D62" s="5">
        <v>101</v>
      </c>
      <c r="E62" s="4">
        <v>0.223</v>
      </c>
      <c r="F62" s="4">
        <v>58.94</v>
      </c>
      <c r="G62" s="4">
        <v>59.136000000000003</v>
      </c>
      <c r="H62" s="4">
        <v>3</v>
      </c>
      <c r="I62" s="6">
        <v>9.1999999999999998E-2</v>
      </c>
      <c r="J62" s="6">
        <v>9.1999999999999998E-2</v>
      </c>
      <c r="K62" s="6">
        <v>0.35399999999999998</v>
      </c>
      <c r="L62" s="6">
        <v>1</v>
      </c>
      <c r="M62" s="6">
        <v>0</v>
      </c>
      <c r="N62" s="4">
        <v>0.109</v>
      </c>
      <c r="O62" s="4">
        <v>0.109</v>
      </c>
      <c r="P62" s="4">
        <v>0.4</v>
      </c>
      <c r="Q62" s="4">
        <v>1</v>
      </c>
      <c r="R62">
        <v>1</v>
      </c>
      <c r="S62" s="7">
        <v>0.61799999999999999</v>
      </c>
      <c r="T62" s="7">
        <v>1.4810000000000001</v>
      </c>
      <c r="U62" s="7">
        <v>2.0209999999999999</v>
      </c>
      <c r="V62" s="7">
        <v>3</v>
      </c>
      <c r="W62" s="10">
        <v>1</v>
      </c>
      <c r="X62" s="4">
        <v>0.379</v>
      </c>
      <c r="Y62" s="4">
        <v>1.871</v>
      </c>
      <c r="Z62" s="4">
        <v>2.25</v>
      </c>
      <c r="AA62" s="4">
        <v>3</v>
      </c>
      <c r="AB62">
        <v>1</v>
      </c>
      <c r="AC62" s="11">
        <v>5.0999999999999997E-2</v>
      </c>
      <c r="AD62" s="11">
        <v>5.0999999999999997E-2</v>
      </c>
      <c r="AE62" s="11">
        <v>0.34699999999999998</v>
      </c>
      <c r="AF62" s="11">
        <v>1</v>
      </c>
      <c r="AG62" s="10">
        <v>1</v>
      </c>
      <c r="AH62" s="4">
        <v>5.0999999999999997E-2</v>
      </c>
      <c r="AI62" s="4">
        <v>5.0999999999999997E-2</v>
      </c>
      <c r="AJ62" s="4">
        <v>0.43</v>
      </c>
      <c r="AK62" s="4">
        <v>1</v>
      </c>
      <c r="AL62">
        <v>0</v>
      </c>
      <c r="AM62" s="11">
        <v>8.1000000000000003E-2</v>
      </c>
      <c r="AN62" s="11">
        <v>8.1000000000000003E-2</v>
      </c>
      <c r="AO62" s="11">
        <v>0.28000000000000003</v>
      </c>
      <c r="AP62" s="11">
        <v>1</v>
      </c>
      <c r="AQ62" s="10">
        <v>0</v>
      </c>
      <c r="AR62" s="4">
        <v>7.3999999999999996E-2</v>
      </c>
      <c r="AS62" s="4">
        <v>7.3999999999999996E-2</v>
      </c>
      <c r="AT62" s="4">
        <v>0.33</v>
      </c>
      <c r="AU62" s="4">
        <v>1</v>
      </c>
      <c r="AV62">
        <v>0</v>
      </c>
    </row>
    <row r="63" spans="1:48" x14ac:dyDescent="0.2">
      <c r="A63" t="s">
        <v>122</v>
      </c>
      <c r="B63" t="s">
        <v>123</v>
      </c>
      <c r="C63">
        <v>7564924</v>
      </c>
      <c r="D63">
        <v>173</v>
      </c>
      <c r="E63">
        <v>37.395000000000003</v>
      </c>
      <c r="F63">
        <v>37.395000000000003</v>
      </c>
      <c r="G63">
        <v>60.661000000000001</v>
      </c>
      <c r="H63">
        <v>1</v>
      </c>
      <c r="I63" s="6">
        <v>2.2530000000000001</v>
      </c>
      <c r="J63" s="6">
        <v>2.2530000000000001</v>
      </c>
      <c r="K63" s="6">
        <v>5.16</v>
      </c>
      <c r="L63" s="6">
        <v>1</v>
      </c>
      <c r="M63" s="6">
        <v>1</v>
      </c>
      <c r="N63">
        <v>2.4569999999999999</v>
      </c>
      <c r="O63">
        <v>2.4569999999999999</v>
      </c>
      <c r="P63">
        <v>3.597</v>
      </c>
      <c r="Q63">
        <v>1</v>
      </c>
      <c r="R63">
        <v>1</v>
      </c>
      <c r="S63" s="7">
        <v>2.2850000000000001</v>
      </c>
      <c r="T63" s="7">
        <v>2.2850000000000001</v>
      </c>
      <c r="U63" s="7">
        <v>3.2349999999999999</v>
      </c>
      <c r="V63" s="7">
        <v>1</v>
      </c>
      <c r="W63" s="10">
        <v>1</v>
      </c>
      <c r="X63">
        <v>2.0760000000000001</v>
      </c>
      <c r="Y63">
        <v>2.0760000000000001</v>
      </c>
      <c r="Z63">
        <v>3.4359999999999999</v>
      </c>
      <c r="AA63">
        <v>1</v>
      </c>
      <c r="AB63">
        <v>1</v>
      </c>
      <c r="AC63" s="10">
        <v>1.86</v>
      </c>
      <c r="AD63" s="10">
        <v>1.86</v>
      </c>
      <c r="AE63" s="10">
        <v>3.06</v>
      </c>
      <c r="AF63" s="10">
        <v>1</v>
      </c>
      <c r="AG63" s="10">
        <v>1</v>
      </c>
      <c r="AH63">
        <v>1.855</v>
      </c>
      <c r="AI63">
        <v>1.855</v>
      </c>
      <c r="AJ63">
        <v>3.42</v>
      </c>
      <c r="AK63">
        <v>1</v>
      </c>
      <c r="AL63">
        <v>1</v>
      </c>
      <c r="AM63" s="10">
        <v>0.83</v>
      </c>
      <c r="AN63" s="10">
        <v>0.83</v>
      </c>
      <c r="AO63" s="10">
        <v>1.7210000000000001</v>
      </c>
      <c r="AP63" s="10">
        <v>1</v>
      </c>
      <c r="AQ63" s="10">
        <v>1</v>
      </c>
      <c r="AR63">
        <v>1.492</v>
      </c>
      <c r="AS63">
        <v>1.492</v>
      </c>
      <c r="AT63">
        <v>2.516</v>
      </c>
      <c r="AU63">
        <v>1</v>
      </c>
      <c r="AV63">
        <v>1</v>
      </c>
    </row>
    <row r="64" spans="1:48" x14ac:dyDescent="0.2">
      <c r="A64" t="s">
        <v>125</v>
      </c>
      <c r="B64" t="s">
        <v>126</v>
      </c>
      <c r="C64">
        <v>4419199</v>
      </c>
      <c r="D64">
        <v>215</v>
      </c>
      <c r="E64">
        <v>0</v>
      </c>
      <c r="F64">
        <v>0</v>
      </c>
      <c r="G64">
        <v>74.14</v>
      </c>
      <c r="H64">
        <v>0</v>
      </c>
      <c r="I64" s="6">
        <v>1.8839999999999999</v>
      </c>
      <c r="J64" s="6">
        <v>1.8839999999999999</v>
      </c>
      <c r="K64" s="6">
        <v>3.121</v>
      </c>
      <c r="L64" s="6">
        <v>1</v>
      </c>
      <c r="M64" s="6">
        <v>1</v>
      </c>
      <c r="N64">
        <v>0.90900000000000003</v>
      </c>
      <c r="O64">
        <v>0.90900000000000003</v>
      </c>
      <c r="P64">
        <v>1.843</v>
      </c>
      <c r="Q64">
        <v>1</v>
      </c>
      <c r="R64">
        <v>0</v>
      </c>
      <c r="S64" s="7">
        <v>1</v>
      </c>
      <c r="T64" s="7">
        <v>1</v>
      </c>
      <c r="U64" s="7">
        <v>1.7490000000000001</v>
      </c>
      <c r="V64" s="7">
        <v>1</v>
      </c>
      <c r="W64" s="10">
        <v>1</v>
      </c>
      <c r="X64">
        <v>4.2990000000000004</v>
      </c>
      <c r="Y64">
        <v>4.2990000000000004</v>
      </c>
      <c r="Z64">
        <v>5.194</v>
      </c>
      <c r="AA64">
        <v>1</v>
      </c>
      <c r="AB64">
        <v>1</v>
      </c>
      <c r="AC64" s="10">
        <v>1.498</v>
      </c>
      <c r="AD64" s="10">
        <v>1.498</v>
      </c>
      <c r="AE64" s="10">
        <v>2.3679999999999999</v>
      </c>
      <c r="AF64" s="10">
        <v>1</v>
      </c>
      <c r="AG64" s="10">
        <v>1</v>
      </c>
      <c r="AH64">
        <v>2.3420000000000001</v>
      </c>
      <c r="AI64">
        <v>2.3420000000000001</v>
      </c>
      <c r="AJ64">
        <v>3.2989999999999999</v>
      </c>
      <c r="AK64">
        <v>1</v>
      </c>
      <c r="AL64">
        <v>1</v>
      </c>
      <c r="AM64" s="10">
        <v>0.877</v>
      </c>
      <c r="AN64" s="10">
        <v>0.877</v>
      </c>
      <c r="AO64" s="10">
        <v>1.6519999999999999</v>
      </c>
      <c r="AP64" s="10">
        <v>1</v>
      </c>
      <c r="AQ64" s="10">
        <v>1</v>
      </c>
      <c r="AR64">
        <v>0.82699999999999996</v>
      </c>
      <c r="AS64">
        <v>0.82699999999999996</v>
      </c>
      <c r="AT64">
        <v>1.728</v>
      </c>
      <c r="AU64">
        <v>1</v>
      </c>
      <c r="AV64">
        <v>1</v>
      </c>
    </row>
    <row r="65" spans="1:48" x14ac:dyDescent="0.2">
      <c r="A65" t="s">
        <v>127</v>
      </c>
      <c r="B65" t="s">
        <v>128</v>
      </c>
      <c r="C65">
        <v>5393882</v>
      </c>
      <c r="D65">
        <v>132</v>
      </c>
      <c r="E65">
        <v>4.9930000000000003</v>
      </c>
      <c r="F65">
        <v>58.133000000000003</v>
      </c>
      <c r="G65">
        <v>59.241999999999997</v>
      </c>
      <c r="H65">
        <v>2</v>
      </c>
      <c r="I65" s="6">
        <v>0.84399999999999997</v>
      </c>
      <c r="J65" s="6">
        <v>4.8049999999999997</v>
      </c>
      <c r="K65" s="6">
        <v>5.6890000000000001</v>
      </c>
      <c r="L65" s="6">
        <v>4</v>
      </c>
      <c r="M65" s="6">
        <v>1</v>
      </c>
      <c r="N65">
        <v>0.66800000000000004</v>
      </c>
      <c r="O65">
        <v>1.2090000000000001</v>
      </c>
      <c r="P65">
        <v>1.972</v>
      </c>
      <c r="Q65">
        <v>2</v>
      </c>
      <c r="R65">
        <v>0</v>
      </c>
      <c r="S65" s="7">
        <v>1.5589999999999999</v>
      </c>
      <c r="T65" s="7">
        <v>2.74</v>
      </c>
      <c r="U65" s="7">
        <v>4.0839999999999996</v>
      </c>
      <c r="V65" s="7">
        <v>2</v>
      </c>
      <c r="W65" s="10">
        <v>1</v>
      </c>
      <c r="X65">
        <v>1.2589999999999999</v>
      </c>
      <c r="Y65">
        <v>2.4550000000000001</v>
      </c>
      <c r="Z65">
        <v>3.16</v>
      </c>
      <c r="AA65">
        <v>2</v>
      </c>
      <c r="AB65">
        <v>0</v>
      </c>
      <c r="AC65" s="10">
        <v>0.72</v>
      </c>
      <c r="AD65" s="10">
        <v>1.415</v>
      </c>
      <c r="AE65" s="10">
        <v>2.1800000000000002</v>
      </c>
      <c r="AF65" s="10">
        <v>2</v>
      </c>
      <c r="AG65" s="10">
        <v>1</v>
      </c>
      <c r="AH65">
        <v>1.569</v>
      </c>
      <c r="AI65">
        <v>2.3809999999999998</v>
      </c>
      <c r="AJ65">
        <v>3.2509999999999999</v>
      </c>
      <c r="AK65">
        <v>2</v>
      </c>
      <c r="AL65">
        <v>1</v>
      </c>
      <c r="AM65" s="10">
        <v>0.71899999999999997</v>
      </c>
      <c r="AN65" s="10">
        <v>1.593</v>
      </c>
      <c r="AO65" s="10">
        <v>2.391</v>
      </c>
      <c r="AP65" s="10">
        <v>2</v>
      </c>
      <c r="AQ65" s="10">
        <v>1</v>
      </c>
      <c r="AR65">
        <v>1.2809999999999999</v>
      </c>
      <c r="AS65">
        <v>2.4790000000000001</v>
      </c>
      <c r="AT65">
        <v>3.4780000000000002</v>
      </c>
      <c r="AU65">
        <v>2</v>
      </c>
      <c r="AV65">
        <v>1</v>
      </c>
    </row>
    <row r="66" spans="1:48" x14ac:dyDescent="0.2">
      <c r="A66" s="2" t="s">
        <v>204</v>
      </c>
      <c r="B66" s="2"/>
      <c r="C66" s="2"/>
      <c r="D66" s="2">
        <f>AVERAGE(D3:D65)</f>
        <v>193.73015873015873</v>
      </c>
      <c r="E66" s="2">
        <f>AVERAGE(E3:E65)</f>
        <v>12.014063492063492</v>
      </c>
      <c r="F66" s="2">
        <f t="shared" ref="F66:G66" si="0">AVERAGE(F3:F65)</f>
        <v>26.182349206349212</v>
      </c>
      <c r="G66" s="2">
        <f t="shared" si="0"/>
        <v>70.344079365079409</v>
      </c>
      <c r="I66" s="19">
        <f>AVERAGE(I3:I65)</f>
        <v>1.814095238095238</v>
      </c>
      <c r="J66" s="19">
        <f>AVERAGE(J3:J65)</f>
        <v>2.063190476190476</v>
      </c>
      <c r="K66" s="19">
        <f>AVERAGE(K3:K65)</f>
        <v>3.2878095238095244</v>
      </c>
      <c r="L66" s="20"/>
      <c r="M66" s="19">
        <f>SUM(M3:M65)</f>
        <v>56</v>
      </c>
      <c r="N66">
        <f>AVERAGE(N3:N65)</f>
        <v>2.3549682539682539</v>
      </c>
      <c r="O66">
        <f t="shared" ref="O66:P66" si="1">AVERAGE(O3:O65)</f>
        <v>3.0343968253968243</v>
      </c>
      <c r="P66">
        <f t="shared" si="1"/>
        <v>4.3211746031746028</v>
      </c>
      <c r="R66" s="2">
        <f>SUM(R3:R65)</f>
        <v>41</v>
      </c>
      <c r="S66">
        <f>AVERAGE(S3:S65)</f>
        <v>2.7979841269841268</v>
      </c>
      <c r="T66">
        <f t="shared" ref="T66:U66" si="2">AVERAGE(T3:T65)</f>
        <v>3.0321587301587303</v>
      </c>
      <c r="U66">
        <f t="shared" si="2"/>
        <v>4.2007619047619054</v>
      </c>
      <c r="W66" s="2">
        <f>SUM(W3:W65)</f>
        <v>47</v>
      </c>
      <c r="X66">
        <f>AVERAGE(X3:X65)</f>
        <v>3.8855555555555545</v>
      </c>
      <c r="Y66">
        <f t="shared" ref="Y66:Z66" si="3">AVERAGE(Y3:Y65)</f>
        <v>4.2616190476190461</v>
      </c>
      <c r="Z66">
        <f t="shared" si="3"/>
        <v>5.6254920634920627</v>
      </c>
      <c r="AB66" s="2">
        <f>SUM(AB3:AB65)</f>
        <v>42</v>
      </c>
      <c r="AC66">
        <f>AVERAGE(AC3:AC65)</f>
        <v>1.7151428571428573</v>
      </c>
      <c r="AD66">
        <f t="shared" ref="AD66:AE66" si="4">AVERAGE(AD3:AD65)</f>
        <v>2.213571428571429</v>
      </c>
      <c r="AE66">
        <f t="shared" si="4"/>
        <v>3.3901904761904751</v>
      </c>
      <c r="AG66" s="2">
        <f>SUM(AG3:AG65)</f>
        <v>59</v>
      </c>
      <c r="AH66">
        <f>AVERAGE(AH59:AH65)</f>
        <v>1.339142857142857</v>
      </c>
      <c r="AI66">
        <f t="shared" ref="AI66:AJ66" si="5">AVERAGE(AI59:AI65)</f>
        <v>1.4551428571428571</v>
      </c>
      <c r="AJ66">
        <f t="shared" si="5"/>
        <v>2.484428571428571</v>
      </c>
      <c r="AL66" s="2">
        <f>SUM(AL3:AL65)</f>
        <v>58</v>
      </c>
      <c r="AM66">
        <f>AVERAGE(AM3:AM65)</f>
        <v>1.7973968253968258</v>
      </c>
      <c r="AN66">
        <f t="shared" ref="AN66:AO66" si="6">AVERAGE(AN3:AN65)</f>
        <v>2.2021746031746039</v>
      </c>
      <c r="AO66">
        <f t="shared" si="6"/>
        <v>3.2565238095238094</v>
      </c>
      <c r="AQ66" s="2">
        <f>SUM(AQ3:AQ65)</f>
        <v>46</v>
      </c>
      <c r="AR66">
        <f>AVERAGE(AR3:AR65)</f>
        <v>1.4890158730158736</v>
      </c>
      <c r="AS66">
        <f>AVERAGE(AS3:AS65)</f>
        <v>1.8463492063492069</v>
      </c>
      <c r="AT66">
        <f t="shared" ref="AT66" si="7">AVERAGE(AT3:AT65)</f>
        <v>3.0463015873015884</v>
      </c>
      <c r="AV66" s="2">
        <f>SUM(AV3:AV65)</f>
        <v>56</v>
      </c>
    </row>
    <row r="67" spans="1:48" x14ac:dyDescent="0.2">
      <c r="C67" t="s">
        <v>222</v>
      </c>
      <c r="D67">
        <f>MIN(D3:D65)</f>
        <v>101</v>
      </c>
      <c r="M67" s="19">
        <f>(56/63)*100</f>
        <v>88.888888888888886</v>
      </c>
      <c r="R67" s="2">
        <f>(R66/63)*100</f>
        <v>65.079365079365076</v>
      </c>
      <c r="W67" s="2">
        <f>(W66/COUNT(W3:W65))*100</f>
        <v>74.603174603174608</v>
      </c>
      <c r="AB67" s="2">
        <f>(AB66/COUNT(AB3:AB65))*100</f>
        <v>66.666666666666657</v>
      </c>
      <c r="AG67" s="2">
        <f>(AG66/COUNT(AG3:AG65))*100</f>
        <v>93.650793650793645</v>
      </c>
      <c r="AL67" s="2">
        <f>(AL66/COUNT(AL3:AL65))*100</f>
        <v>92.063492063492063</v>
      </c>
      <c r="AQ67" s="2">
        <f>(AQ66/COUNT(AQ3:AQ65))*100</f>
        <v>73.015873015873012</v>
      </c>
      <c r="AV67" s="2">
        <f>(AV66/COUNT(AV3:AV65))*100</f>
        <v>88.888888888888886</v>
      </c>
    </row>
    <row r="68" spans="1:48" x14ac:dyDescent="0.2">
      <c r="C68" t="s">
        <v>223</v>
      </c>
      <c r="D68">
        <f>MAX(D3:D65)</f>
        <v>496</v>
      </c>
      <c r="M68" s="19"/>
      <c r="R68" s="2"/>
    </row>
    <row r="69" spans="1:48" x14ac:dyDescent="0.2">
      <c r="L69" s="8"/>
      <c r="M69" s="8"/>
      <c r="N69" s="8"/>
      <c r="O69" s="8"/>
      <c r="P69" s="8"/>
      <c r="Q69" s="8"/>
      <c r="R69" s="8"/>
      <c r="S69" s="8"/>
    </row>
    <row r="70" spans="1:48" x14ac:dyDescent="0.2">
      <c r="A70" s="1" t="s">
        <v>94</v>
      </c>
      <c r="B70" s="1"/>
      <c r="C70" s="1">
        <v>8578178</v>
      </c>
      <c r="D70" s="1">
        <v>2</v>
      </c>
      <c r="L70" s="8"/>
      <c r="M70" s="8"/>
      <c r="N70" s="8"/>
      <c r="O70" s="8"/>
      <c r="P70" s="8"/>
      <c r="Q70" s="8"/>
      <c r="R70" s="8"/>
      <c r="S70" s="8"/>
    </row>
    <row r="71" spans="1:48" x14ac:dyDescent="0.2">
      <c r="A71" s="1" t="s">
        <v>124</v>
      </c>
      <c r="B71" s="1"/>
      <c r="C71" s="1">
        <v>8188179</v>
      </c>
      <c r="D71" s="1">
        <v>38</v>
      </c>
      <c r="L71" s="8"/>
      <c r="M71" s="8"/>
      <c r="N71" s="8"/>
      <c r="O71" s="8"/>
      <c r="P71" s="8"/>
      <c r="Q71" s="8"/>
      <c r="R71" s="8"/>
      <c r="S71" s="8"/>
    </row>
    <row r="72" spans="1:48" x14ac:dyDescent="0.2">
      <c r="L72" s="8"/>
      <c r="M72" s="8"/>
      <c r="N72" s="8"/>
      <c r="O72" s="8"/>
      <c r="P72" s="8"/>
      <c r="Q72" s="8"/>
      <c r="R72" s="8"/>
      <c r="S72" s="8"/>
    </row>
    <row r="73" spans="1:48" x14ac:dyDescent="0.2">
      <c r="A73" s="2" t="s">
        <v>130</v>
      </c>
    </row>
    <row r="74" spans="1:48" x14ac:dyDescent="0.2">
      <c r="A74">
        <v>1</v>
      </c>
      <c r="C74" t="s">
        <v>132</v>
      </c>
    </row>
    <row r="75" spans="1:48" x14ac:dyDescent="0.2">
      <c r="A75">
        <v>2</v>
      </c>
      <c r="C75" t="s">
        <v>133</v>
      </c>
    </row>
    <row r="76" spans="1:48" x14ac:dyDescent="0.2">
      <c r="A76">
        <v>3</v>
      </c>
      <c r="C76" t="s">
        <v>134</v>
      </c>
    </row>
    <row r="77" spans="1:48" x14ac:dyDescent="0.2">
      <c r="A77">
        <v>4</v>
      </c>
      <c r="C77" t="s">
        <v>131</v>
      </c>
    </row>
    <row r="80" spans="1:48" x14ac:dyDescent="0.2">
      <c r="A80" s="2" t="s">
        <v>135</v>
      </c>
    </row>
    <row r="81" spans="1:1" x14ac:dyDescent="0.2">
      <c r="A81" t="s">
        <v>136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N72"/>
  <sheetViews>
    <sheetView tabSelected="1" topLeftCell="AF1" workbookViewId="0">
      <selection activeCell="AP8" sqref="AP8"/>
    </sheetView>
  </sheetViews>
  <sheetFormatPr baseColWidth="10" defaultRowHeight="16" x14ac:dyDescent="0.2"/>
  <cols>
    <col min="2" max="2" width="20" customWidth="1"/>
    <col min="3" max="3" width="8.83203125" customWidth="1"/>
    <col min="4" max="4" width="9.5" customWidth="1"/>
    <col min="5" max="5" width="7.5" customWidth="1"/>
    <col min="6" max="6" width="9.6640625" customWidth="1"/>
    <col min="7" max="7" width="8.6640625" customWidth="1"/>
    <col min="8" max="8" width="7" customWidth="1"/>
    <col min="9" max="9" width="6.6640625" customWidth="1"/>
    <col min="10" max="10" width="6.83203125" customWidth="1"/>
    <col min="11" max="11" width="5.33203125" customWidth="1"/>
    <col min="12" max="12" width="7" customWidth="1"/>
    <col min="13" max="13" width="7.1640625" customWidth="1"/>
    <col min="14" max="14" width="7" customWidth="1"/>
    <col min="15" max="15" width="7.33203125" customWidth="1"/>
    <col min="16" max="16" width="7.1640625" customWidth="1"/>
    <col min="17" max="17" width="6.33203125" customWidth="1"/>
    <col min="18" max="18" width="6.83203125" customWidth="1"/>
    <col min="19" max="19" width="7.5" customWidth="1"/>
    <col min="20" max="20" width="6.5" customWidth="1"/>
    <col min="21" max="21" width="7.6640625" customWidth="1"/>
    <col min="22" max="22" width="7.33203125" customWidth="1"/>
    <col min="23" max="23" width="5.6640625" customWidth="1"/>
    <col min="24" max="24" width="6.33203125" customWidth="1"/>
    <col min="25" max="25" width="7.33203125" customWidth="1"/>
    <col min="26" max="26" width="6.1640625" customWidth="1"/>
    <col min="27" max="27" width="8.1640625" customWidth="1"/>
    <col min="28" max="28" width="8.5" customWidth="1"/>
    <col min="29" max="29" width="12.83203125" customWidth="1"/>
    <col min="30" max="30" width="8.33203125" customWidth="1"/>
    <col min="31" max="31" width="8.1640625" customWidth="1"/>
    <col min="32" max="32" width="8.33203125" customWidth="1"/>
    <col min="33" max="33" width="9.1640625" customWidth="1"/>
    <col min="38" max="38" width="11.6640625" customWidth="1"/>
  </cols>
  <sheetData>
    <row r="1" spans="1:40" x14ac:dyDescent="0.2">
      <c r="C1">
        <v>1</v>
      </c>
      <c r="F1">
        <v>2</v>
      </c>
      <c r="I1">
        <v>3</v>
      </c>
      <c r="L1">
        <v>4</v>
      </c>
      <c r="O1">
        <v>5</v>
      </c>
      <c r="R1">
        <v>6</v>
      </c>
      <c r="U1">
        <v>7</v>
      </c>
      <c r="X1">
        <v>8</v>
      </c>
      <c r="AA1" s="21" t="s">
        <v>209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</row>
    <row r="2" spans="1:40" x14ac:dyDescent="0.2">
      <c r="A2" s="2" t="s">
        <v>221</v>
      </c>
      <c r="B2" s="2" t="s">
        <v>1</v>
      </c>
      <c r="C2" s="9" t="s">
        <v>152</v>
      </c>
      <c r="D2" s="9" t="s">
        <v>153</v>
      </c>
      <c r="E2" s="9" t="s">
        <v>154</v>
      </c>
      <c r="F2" s="2" t="s">
        <v>166</v>
      </c>
      <c r="G2" s="2" t="s">
        <v>167</v>
      </c>
      <c r="H2" s="2" t="s">
        <v>168</v>
      </c>
      <c r="I2" s="15" t="s">
        <v>188</v>
      </c>
      <c r="J2" s="15" t="s">
        <v>189</v>
      </c>
      <c r="K2" s="15" t="s">
        <v>190</v>
      </c>
      <c r="L2" s="13" t="s">
        <v>156</v>
      </c>
      <c r="M2" s="13" t="s">
        <v>157</v>
      </c>
      <c r="N2" s="13" t="s">
        <v>158</v>
      </c>
      <c r="O2" s="14" t="s">
        <v>179</v>
      </c>
      <c r="P2" s="14" t="s">
        <v>180</v>
      </c>
      <c r="Q2" s="14" t="s">
        <v>181</v>
      </c>
      <c r="R2" s="13" t="s">
        <v>148</v>
      </c>
      <c r="S2" s="13" t="s">
        <v>149</v>
      </c>
      <c r="T2" s="13" t="s">
        <v>150</v>
      </c>
      <c r="U2" s="14" t="s">
        <v>145</v>
      </c>
      <c r="V2" s="14" t="s">
        <v>146</v>
      </c>
      <c r="W2" s="14" t="s">
        <v>147</v>
      </c>
      <c r="X2" s="2" t="s">
        <v>139</v>
      </c>
      <c r="Y2" s="2" t="s">
        <v>140</v>
      </c>
      <c r="Z2" s="2" t="s">
        <v>141</v>
      </c>
      <c r="AA2" s="22" t="s">
        <v>206</v>
      </c>
      <c r="AB2" s="22" t="s">
        <v>208</v>
      </c>
      <c r="AC2" s="22" t="s">
        <v>219</v>
      </c>
      <c r="AD2" s="22" t="s">
        <v>218</v>
      </c>
      <c r="AE2" s="22" t="s">
        <v>142</v>
      </c>
      <c r="AF2" s="22" t="s">
        <v>205</v>
      </c>
      <c r="AG2" s="22" t="s">
        <v>216</v>
      </c>
      <c r="AH2" s="22" t="s">
        <v>212</v>
      </c>
      <c r="AI2" s="22" t="s">
        <v>211</v>
      </c>
      <c r="AJ2" s="22" t="s">
        <v>143</v>
      </c>
      <c r="AK2" s="22" t="s">
        <v>207</v>
      </c>
      <c r="AL2" s="22" t="s">
        <v>215</v>
      </c>
      <c r="AM2" s="22" t="s">
        <v>144</v>
      </c>
      <c r="AN2" s="22" t="s">
        <v>210</v>
      </c>
    </row>
    <row r="3" spans="1:40" x14ac:dyDescent="0.2">
      <c r="A3">
        <v>1</v>
      </c>
      <c r="B3" t="s">
        <v>4</v>
      </c>
      <c r="C3" s="17" t="s">
        <v>151</v>
      </c>
      <c r="D3" s="6" t="s">
        <v>151</v>
      </c>
      <c r="E3" s="6">
        <v>1</v>
      </c>
      <c r="F3" t="s">
        <v>138</v>
      </c>
      <c r="G3" t="s">
        <v>151</v>
      </c>
      <c r="H3">
        <v>0</v>
      </c>
      <c r="I3" s="18" t="s">
        <v>138</v>
      </c>
      <c r="J3" s="7" t="s">
        <v>151</v>
      </c>
      <c r="K3" s="7">
        <v>0</v>
      </c>
      <c r="L3" t="s">
        <v>151</v>
      </c>
      <c r="M3" t="s">
        <v>138</v>
      </c>
      <c r="N3">
        <v>0</v>
      </c>
      <c r="O3" s="10" t="s">
        <v>138</v>
      </c>
      <c r="P3" s="10" t="s">
        <v>138</v>
      </c>
      <c r="Q3" s="10">
        <v>1</v>
      </c>
      <c r="R3" t="s">
        <v>151</v>
      </c>
      <c r="S3" t="s">
        <v>151</v>
      </c>
      <c r="T3">
        <v>1</v>
      </c>
      <c r="U3" s="10" t="s">
        <v>138</v>
      </c>
      <c r="V3" s="10" t="s">
        <v>151</v>
      </c>
      <c r="W3" s="10">
        <v>0</v>
      </c>
      <c r="X3" t="s">
        <v>151</v>
      </c>
      <c r="Y3" t="s">
        <v>151</v>
      </c>
      <c r="Z3">
        <v>1</v>
      </c>
      <c r="AA3" s="21">
        <f>SUM(E3,H3,K3,Q3,N3,T3,W3,Z3)</f>
        <v>4</v>
      </c>
      <c r="AB3" s="21">
        <f>(AA3/8)*100</f>
        <v>50</v>
      </c>
      <c r="AC3" s="21">
        <f>IF(AA3&gt;=7,1,0)</f>
        <v>0</v>
      </c>
      <c r="AD3" s="21">
        <f>IF(AA3=8,1,0)</f>
        <v>0</v>
      </c>
      <c r="AE3" s="21">
        <f>SUM(H3,Q3,K3,Z3)</f>
        <v>2</v>
      </c>
      <c r="AF3" s="21">
        <f>(AE3/4)*100</f>
        <v>50</v>
      </c>
      <c r="AG3" s="21">
        <f>IF(AE3=4,1,0)</f>
        <v>0</v>
      </c>
      <c r="AH3" s="21">
        <f>SUM(Q3,Z3)</f>
        <v>2</v>
      </c>
      <c r="AI3" s="23">
        <f>SUM(H3,K3)</f>
        <v>0</v>
      </c>
      <c r="AJ3" s="23">
        <f>SUM(N3,W3)</f>
        <v>0</v>
      </c>
      <c r="AK3" s="21">
        <f>(AJ3/2)*100</f>
        <v>0</v>
      </c>
      <c r="AL3" s="21">
        <v>0</v>
      </c>
      <c r="AM3" s="21">
        <f>SUM(E3,T3)</f>
        <v>2</v>
      </c>
      <c r="AN3" s="21">
        <f>(AM3/2)*100</f>
        <v>100</v>
      </c>
    </row>
    <row r="4" spans="1:40" x14ac:dyDescent="0.2">
      <c r="A4">
        <v>2</v>
      </c>
      <c r="B4" t="s">
        <v>6</v>
      </c>
      <c r="C4" s="17" t="s">
        <v>151</v>
      </c>
      <c r="D4" s="6" t="s">
        <v>151</v>
      </c>
      <c r="E4" s="6">
        <v>1</v>
      </c>
      <c r="F4" t="s">
        <v>138</v>
      </c>
      <c r="G4" t="s">
        <v>138</v>
      </c>
      <c r="H4">
        <v>1</v>
      </c>
      <c r="I4" s="18" t="s">
        <v>138</v>
      </c>
      <c r="J4" s="7" t="s">
        <v>138</v>
      </c>
      <c r="K4" s="7">
        <v>1</v>
      </c>
      <c r="L4" t="s">
        <v>151</v>
      </c>
      <c r="M4" t="s">
        <v>151</v>
      </c>
      <c r="N4">
        <v>1</v>
      </c>
      <c r="O4" s="10" t="s">
        <v>138</v>
      </c>
      <c r="P4" s="10" t="s">
        <v>138</v>
      </c>
      <c r="Q4" s="10">
        <v>1</v>
      </c>
      <c r="R4" t="s">
        <v>151</v>
      </c>
      <c r="S4" t="s">
        <v>151</v>
      </c>
      <c r="T4">
        <v>1</v>
      </c>
      <c r="U4" s="10" t="s">
        <v>138</v>
      </c>
      <c r="V4" s="10" t="s">
        <v>138</v>
      </c>
      <c r="W4" s="10">
        <v>1</v>
      </c>
      <c r="X4" t="s">
        <v>151</v>
      </c>
      <c r="Y4" t="s">
        <v>151</v>
      </c>
      <c r="Z4">
        <v>1</v>
      </c>
      <c r="AA4" s="21">
        <f t="shared" ref="AA4:AA63" si="0">SUM(E4,H4,K4,Q4,N4,T4,W4,Z4)</f>
        <v>8</v>
      </c>
      <c r="AB4" s="21">
        <f t="shared" ref="AB4:AB63" si="1">(AA4/8)*100</f>
        <v>100</v>
      </c>
      <c r="AC4" s="21">
        <f t="shared" ref="AC4:AC63" si="2">IF(AA4&gt;=7,1,0)</f>
        <v>1</v>
      </c>
      <c r="AD4" s="21">
        <f t="shared" ref="AD4:AD63" si="3">IF(AA4=8,1,0)</f>
        <v>1</v>
      </c>
      <c r="AE4" s="21">
        <f t="shared" ref="AE4:AE63" si="4">SUM(H4,Q4,K4,Z4)</f>
        <v>4</v>
      </c>
      <c r="AF4" s="21">
        <f t="shared" ref="AF4:AF63" si="5">(AE4/4)*100</f>
        <v>100</v>
      </c>
      <c r="AG4" s="21">
        <f t="shared" ref="AG4:AG63" si="6">IF(AE4=4,1,0)</f>
        <v>1</v>
      </c>
      <c r="AH4" s="21">
        <f t="shared" ref="AH4:AH63" si="7">SUM(Q4,Z4)</f>
        <v>2</v>
      </c>
      <c r="AI4" s="21">
        <f t="shared" ref="AI4:AI63" si="8">SUM(H4,K4)</f>
        <v>2</v>
      </c>
      <c r="AJ4" s="21">
        <f t="shared" ref="AJ4:AJ63" si="9">SUM(N4,W4)</f>
        <v>2</v>
      </c>
      <c r="AK4" s="21">
        <f t="shared" ref="AK4:AK63" si="10">(AJ4/2)*100</f>
        <v>100</v>
      </c>
      <c r="AL4" s="21">
        <v>1</v>
      </c>
      <c r="AM4" s="21">
        <f t="shared" ref="AM4:AM63" si="11">SUM(E4,T4)</f>
        <v>2</v>
      </c>
      <c r="AN4" s="21">
        <f t="shared" ref="AN4:AN63" si="12">(AM4/2)*100</f>
        <v>100</v>
      </c>
    </row>
    <row r="5" spans="1:40" x14ac:dyDescent="0.2">
      <c r="A5">
        <v>3</v>
      </c>
      <c r="B5" t="s">
        <v>8</v>
      </c>
      <c r="C5" s="17" t="s">
        <v>151</v>
      </c>
      <c r="D5" s="6" t="s">
        <v>138</v>
      </c>
      <c r="E5" s="6">
        <v>0</v>
      </c>
      <c r="F5" t="s">
        <v>138</v>
      </c>
      <c r="G5" t="s">
        <v>138</v>
      </c>
      <c r="H5">
        <v>1</v>
      </c>
      <c r="I5" s="18" t="s">
        <v>138</v>
      </c>
      <c r="J5" s="7" t="s">
        <v>151</v>
      </c>
      <c r="K5" s="7">
        <v>0</v>
      </c>
      <c r="L5" t="s">
        <v>151</v>
      </c>
      <c r="M5" t="s">
        <v>151</v>
      </c>
      <c r="N5">
        <v>1</v>
      </c>
      <c r="O5" s="10" t="s">
        <v>138</v>
      </c>
      <c r="P5" s="10" t="s">
        <v>138</v>
      </c>
      <c r="Q5" s="10">
        <v>1</v>
      </c>
      <c r="R5" t="s">
        <v>151</v>
      </c>
      <c r="S5" t="s">
        <v>151</v>
      </c>
      <c r="T5">
        <v>1</v>
      </c>
      <c r="U5" s="10" t="s">
        <v>138</v>
      </c>
      <c r="V5" s="10" t="s">
        <v>138</v>
      </c>
      <c r="W5" s="10">
        <v>1</v>
      </c>
      <c r="X5" t="s">
        <v>151</v>
      </c>
      <c r="Y5" t="s">
        <v>138</v>
      </c>
      <c r="Z5">
        <v>0</v>
      </c>
      <c r="AA5" s="21">
        <f t="shared" si="0"/>
        <v>5</v>
      </c>
      <c r="AB5" s="21">
        <f t="shared" si="1"/>
        <v>62.5</v>
      </c>
      <c r="AC5" s="21">
        <f t="shared" si="2"/>
        <v>0</v>
      </c>
      <c r="AD5" s="21">
        <f t="shared" si="3"/>
        <v>0</v>
      </c>
      <c r="AE5" s="21">
        <f t="shared" si="4"/>
        <v>2</v>
      </c>
      <c r="AF5" s="21">
        <f t="shared" si="5"/>
        <v>50</v>
      </c>
      <c r="AG5" s="21">
        <f t="shared" si="6"/>
        <v>0</v>
      </c>
      <c r="AH5" s="21">
        <f t="shared" si="7"/>
        <v>1</v>
      </c>
      <c r="AI5" s="21">
        <f t="shared" si="8"/>
        <v>1</v>
      </c>
      <c r="AJ5" s="21">
        <f t="shared" si="9"/>
        <v>2</v>
      </c>
      <c r="AK5" s="21">
        <f t="shared" si="10"/>
        <v>100</v>
      </c>
      <c r="AL5" s="21">
        <f>IF(AK5=100,1,0)</f>
        <v>1</v>
      </c>
      <c r="AM5" s="21">
        <f t="shared" si="11"/>
        <v>1</v>
      </c>
      <c r="AN5" s="21">
        <f t="shared" si="12"/>
        <v>50</v>
      </c>
    </row>
    <row r="6" spans="1:40" x14ac:dyDescent="0.2">
      <c r="A6">
        <v>4</v>
      </c>
      <c r="B6" t="s">
        <v>10</v>
      </c>
      <c r="C6" s="17" t="s">
        <v>151</v>
      </c>
      <c r="D6" s="6" t="s">
        <v>151</v>
      </c>
      <c r="E6" s="6">
        <v>1</v>
      </c>
      <c r="F6" t="s">
        <v>138</v>
      </c>
      <c r="G6" t="s">
        <v>138</v>
      </c>
      <c r="H6">
        <v>1</v>
      </c>
      <c r="I6" s="18" t="s">
        <v>138</v>
      </c>
      <c r="J6" s="7" t="s">
        <v>138</v>
      </c>
      <c r="K6" s="7">
        <v>1</v>
      </c>
      <c r="L6" t="s">
        <v>151</v>
      </c>
      <c r="M6" t="s">
        <v>151</v>
      </c>
      <c r="N6">
        <v>1</v>
      </c>
      <c r="O6" s="10" t="s">
        <v>138</v>
      </c>
      <c r="P6" s="10" t="s">
        <v>138</v>
      </c>
      <c r="Q6" s="10">
        <v>1</v>
      </c>
      <c r="R6" t="s">
        <v>151</v>
      </c>
      <c r="S6" t="s">
        <v>151</v>
      </c>
      <c r="T6">
        <v>1</v>
      </c>
      <c r="U6" s="10" t="s">
        <v>138</v>
      </c>
      <c r="V6" s="10" t="s">
        <v>138</v>
      </c>
      <c r="W6" s="10">
        <v>1</v>
      </c>
      <c r="X6" t="s">
        <v>151</v>
      </c>
      <c r="Y6" t="s">
        <v>151</v>
      </c>
      <c r="Z6">
        <v>1</v>
      </c>
      <c r="AA6" s="21">
        <f t="shared" si="0"/>
        <v>8</v>
      </c>
      <c r="AB6" s="21">
        <f t="shared" si="1"/>
        <v>100</v>
      </c>
      <c r="AC6" s="21">
        <f t="shared" si="2"/>
        <v>1</v>
      </c>
      <c r="AD6" s="21">
        <f t="shared" si="3"/>
        <v>1</v>
      </c>
      <c r="AE6" s="21">
        <f t="shared" si="4"/>
        <v>4</v>
      </c>
      <c r="AF6" s="21">
        <f t="shared" si="5"/>
        <v>100</v>
      </c>
      <c r="AG6" s="21">
        <f t="shared" si="6"/>
        <v>1</v>
      </c>
      <c r="AH6" s="21">
        <f t="shared" si="7"/>
        <v>2</v>
      </c>
      <c r="AI6" s="21">
        <f t="shared" si="8"/>
        <v>2</v>
      </c>
      <c r="AJ6" s="21">
        <f t="shared" si="9"/>
        <v>2</v>
      </c>
      <c r="AK6" s="21">
        <f t="shared" si="10"/>
        <v>100</v>
      </c>
      <c r="AL6" s="21">
        <f t="shared" ref="AL6:AL65" si="13">IF(AK6=100,1,0)</f>
        <v>1</v>
      </c>
      <c r="AM6" s="21">
        <f t="shared" si="11"/>
        <v>2</v>
      </c>
      <c r="AN6" s="21">
        <f t="shared" si="12"/>
        <v>100</v>
      </c>
    </row>
    <row r="7" spans="1:40" x14ac:dyDescent="0.2">
      <c r="A7">
        <v>5</v>
      </c>
      <c r="B7" t="s">
        <v>12</v>
      </c>
      <c r="C7" s="17" t="s">
        <v>151</v>
      </c>
      <c r="D7" s="6" t="s">
        <v>151</v>
      </c>
      <c r="E7" s="6">
        <v>1</v>
      </c>
      <c r="F7" t="s">
        <v>138</v>
      </c>
      <c r="G7" t="s">
        <v>138</v>
      </c>
      <c r="H7">
        <v>1</v>
      </c>
      <c r="I7" s="18" t="s">
        <v>138</v>
      </c>
      <c r="J7" s="7" t="s">
        <v>138</v>
      </c>
      <c r="K7" s="7">
        <v>1</v>
      </c>
      <c r="L7" t="s">
        <v>151</v>
      </c>
      <c r="M7" t="s">
        <v>151</v>
      </c>
      <c r="N7">
        <v>1</v>
      </c>
      <c r="O7" s="10" t="s">
        <v>138</v>
      </c>
      <c r="P7" s="10" t="s">
        <v>138</v>
      </c>
      <c r="Q7" s="10">
        <v>1</v>
      </c>
      <c r="R7" t="s">
        <v>151</v>
      </c>
      <c r="S7" t="s">
        <v>151</v>
      </c>
      <c r="T7">
        <v>1</v>
      </c>
      <c r="U7" s="10" t="s">
        <v>138</v>
      </c>
      <c r="V7" s="10" t="s">
        <v>138</v>
      </c>
      <c r="W7" s="10">
        <v>1</v>
      </c>
      <c r="X7" t="s">
        <v>151</v>
      </c>
      <c r="Y7" t="s">
        <v>151</v>
      </c>
      <c r="Z7">
        <v>1</v>
      </c>
      <c r="AA7" s="21">
        <f t="shared" si="0"/>
        <v>8</v>
      </c>
      <c r="AB7" s="21">
        <f t="shared" si="1"/>
        <v>100</v>
      </c>
      <c r="AC7" s="21">
        <f t="shared" si="2"/>
        <v>1</v>
      </c>
      <c r="AD7" s="21">
        <f t="shared" si="3"/>
        <v>1</v>
      </c>
      <c r="AE7" s="21">
        <f t="shared" si="4"/>
        <v>4</v>
      </c>
      <c r="AF7" s="21">
        <f t="shared" si="5"/>
        <v>100</v>
      </c>
      <c r="AG7" s="21">
        <f t="shared" si="6"/>
        <v>1</v>
      </c>
      <c r="AH7" s="21">
        <f t="shared" si="7"/>
        <v>2</v>
      </c>
      <c r="AI7" s="21">
        <f t="shared" si="8"/>
        <v>2</v>
      </c>
      <c r="AJ7" s="21">
        <f t="shared" si="9"/>
        <v>2</v>
      </c>
      <c r="AK7" s="21">
        <f t="shared" si="10"/>
        <v>100</v>
      </c>
      <c r="AL7" s="21">
        <f t="shared" si="13"/>
        <v>1</v>
      </c>
      <c r="AM7" s="21">
        <f t="shared" si="11"/>
        <v>2</v>
      </c>
      <c r="AN7" s="21">
        <f t="shared" si="12"/>
        <v>100</v>
      </c>
    </row>
    <row r="8" spans="1:40" x14ac:dyDescent="0.2">
      <c r="A8">
        <v>6</v>
      </c>
      <c r="B8" t="s">
        <v>14</v>
      </c>
      <c r="C8" s="17" t="s">
        <v>151</v>
      </c>
      <c r="D8" s="6" t="s">
        <v>151</v>
      </c>
      <c r="E8" s="6">
        <v>1</v>
      </c>
      <c r="F8" t="s">
        <v>138</v>
      </c>
      <c r="G8" t="s">
        <v>138</v>
      </c>
      <c r="H8">
        <v>1</v>
      </c>
      <c r="I8" s="18" t="s">
        <v>138</v>
      </c>
      <c r="J8" s="7" t="s">
        <v>138</v>
      </c>
      <c r="K8" s="7">
        <v>1</v>
      </c>
      <c r="L8" t="s">
        <v>151</v>
      </c>
      <c r="M8" t="s">
        <v>151</v>
      </c>
      <c r="N8">
        <v>1</v>
      </c>
      <c r="O8" s="10" t="s">
        <v>138</v>
      </c>
      <c r="P8" s="10" t="s">
        <v>138</v>
      </c>
      <c r="Q8" s="10">
        <v>1</v>
      </c>
      <c r="R8" t="s">
        <v>151</v>
      </c>
      <c r="S8" t="s">
        <v>151</v>
      </c>
      <c r="T8">
        <v>1</v>
      </c>
      <c r="U8" s="10" t="s">
        <v>138</v>
      </c>
      <c r="V8" s="10" t="s">
        <v>138</v>
      </c>
      <c r="W8" s="10">
        <v>1</v>
      </c>
      <c r="X8" t="s">
        <v>151</v>
      </c>
      <c r="Y8" t="s">
        <v>151</v>
      </c>
      <c r="Z8">
        <v>1</v>
      </c>
      <c r="AA8" s="21">
        <f t="shared" si="0"/>
        <v>8</v>
      </c>
      <c r="AB8" s="21">
        <f t="shared" si="1"/>
        <v>100</v>
      </c>
      <c r="AC8" s="21">
        <f t="shared" si="2"/>
        <v>1</v>
      </c>
      <c r="AD8" s="21">
        <f t="shared" si="3"/>
        <v>1</v>
      </c>
      <c r="AE8" s="21">
        <f t="shared" si="4"/>
        <v>4</v>
      </c>
      <c r="AF8" s="21">
        <f t="shared" si="5"/>
        <v>100</v>
      </c>
      <c r="AG8" s="21">
        <f t="shared" si="6"/>
        <v>1</v>
      </c>
      <c r="AH8" s="21">
        <f t="shared" si="7"/>
        <v>2</v>
      </c>
      <c r="AI8" s="21">
        <f t="shared" si="8"/>
        <v>2</v>
      </c>
      <c r="AJ8" s="21">
        <f t="shared" si="9"/>
        <v>2</v>
      </c>
      <c r="AK8" s="21">
        <f t="shared" si="10"/>
        <v>100</v>
      </c>
      <c r="AL8" s="21">
        <f t="shared" si="13"/>
        <v>1</v>
      </c>
      <c r="AM8" s="21">
        <f t="shared" si="11"/>
        <v>2</v>
      </c>
      <c r="AN8" s="21">
        <f t="shared" si="12"/>
        <v>100</v>
      </c>
    </row>
    <row r="9" spans="1:40" x14ac:dyDescent="0.2">
      <c r="A9">
        <v>7</v>
      </c>
      <c r="B9" t="s">
        <v>16</v>
      </c>
      <c r="C9" s="17" t="s">
        <v>151</v>
      </c>
      <c r="D9" s="6" t="s">
        <v>151</v>
      </c>
      <c r="E9" s="6">
        <v>1</v>
      </c>
      <c r="F9" t="s">
        <v>138</v>
      </c>
      <c r="G9" t="s">
        <v>138</v>
      </c>
      <c r="H9">
        <v>1</v>
      </c>
      <c r="I9" s="18" t="s">
        <v>138</v>
      </c>
      <c r="J9" s="7" t="s">
        <v>138</v>
      </c>
      <c r="K9" s="7">
        <v>1</v>
      </c>
      <c r="L9" t="s">
        <v>151</v>
      </c>
      <c r="M9" t="s">
        <v>151</v>
      </c>
      <c r="N9">
        <v>1</v>
      </c>
      <c r="O9" s="10" t="s">
        <v>138</v>
      </c>
      <c r="P9" s="10" t="s">
        <v>138</v>
      </c>
      <c r="Q9" s="10">
        <v>1</v>
      </c>
      <c r="R9" t="s">
        <v>151</v>
      </c>
      <c r="S9" t="s">
        <v>151</v>
      </c>
      <c r="T9">
        <v>1</v>
      </c>
      <c r="U9" s="10" t="s">
        <v>138</v>
      </c>
      <c r="V9" s="10" t="s">
        <v>138</v>
      </c>
      <c r="W9" s="10">
        <v>1</v>
      </c>
      <c r="X9" t="s">
        <v>151</v>
      </c>
      <c r="Y9" t="s">
        <v>151</v>
      </c>
      <c r="Z9">
        <v>1</v>
      </c>
      <c r="AA9" s="21">
        <f t="shared" si="0"/>
        <v>8</v>
      </c>
      <c r="AB9" s="21">
        <f t="shared" si="1"/>
        <v>100</v>
      </c>
      <c r="AC9" s="21">
        <f t="shared" si="2"/>
        <v>1</v>
      </c>
      <c r="AD9" s="21">
        <f t="shared" si="3"/>
        <v>1</v>
      </c>
      <c r="AE9" s="21">
        <f t="shared" si="4"/>
        <v>4</v>
      </c>
      <c r="AF9" s="21">
        <f t="shared" si="5"/>
        <v>100</v>
      </c>
      <c r="AG9" s="21">
        <f t="shared" si="6"/>
        <v>1</v>
      </c>
      <c r="AH9" s="21">
        <f t="shared" si="7"/>
        <v>2</v>
      </c>
      <c r="AI9" s="21">
        <f t="shared" si="8"/>
        <v>2</v>
      </c>
      <c r="AJ9" s="21">
        <f t="shared" si="9"/>
        <v>2</v>
      </c>
      <c r="AK9" s="21">
        <f t="shared" si="10"/>
        <v>100</v>
      </c>
      <c r="AL9" s="21">
        <f t="shared" si="13"/>
        <v>1</v>
      </c>
      <c r="AM9" s="21">
        <f t="shared" si="11"/>
        <v>2</v>
      </c>
      <c r="AN9" s="21">
        <f t="shared" si="12"/>
        <v>100</v>
      </c>
    </row>
    <row r="10" spans="1:40" x14ac:dyDescent="0.2">
      <c r="A10">
        <v>8</v>
      </c>
      <c r="B10" t="s">
        <v>18</v>
      </c>
      <c r="C10" s="17" t="s">
        <v>151</v>
      </c>
      <c r="D10" s="6" t="s">
        <v>151</v>
      </c>
      <c r="E10" s="6">
        <v>1</v>
      </c>
      <c r="F10" t="s">
        <v>138</v>
      </c>
      <c r="G10" t="s">
        <v>138</v>
      </c>
      <c r="H10">
        <v>1</v>
      </c>
      <c r="I10" s="18" t="s">
        <v>138</v>
      </c>
      <c r="J10" s="7" t="s">
        <v>138</v>
      </c>
      <c r="K10" s="7">
        <v>1</v>
      </c>
      <c r="L10" t="s">
        <v>151</v>
      </c>
      <c r="M10" t="s">
        <v>151</v>
      </c>
      <c r="N10">
        <v>1</v>
      </c>
      <c r="O10" s="10" t="s">
        <v>138</v>
      </c>
      <c r="P10" s="10" t="s">
        <v>138</v>
      </c>
      <c r="Q10" s="10">
        <v>1</v>
      </c>
      <c r="R10" t="s">
        <v>151</v>
      </c>
      <c r="S10" t="s">
        <v>151</v>
      </c>
      <c r="T10">
        <v>1</v>
      </c>
      <c r="U10" s="10" t="s">
        <v>138</v>
      </c>
      <c r="V10" s="10" t="s">
        <v>138</v>
      </c>
      <c r="W10" s="10">
        <v>1</v>
      </c>
      <c r="X10" t="s">
        <v>151</v>
      </c>
      <c r="Y10" t="s">
        <v>151</v>
      </c>
      <c r="Z10">
        <v>1</v>
      </c>
      <c r="AA10" s="21">
        <f t="shared" si="0"/>
        <v>8</v>
      </c>
      <c r="AB10" s="21">
        <f t="shared" si="1"/>
        <v>100</v>
      </c>
      <c r="AC10" s="21">
        <f t="shared" si="2"/>
        <v>1</v>
      </c>
      <c r="AD10" s="21">
        <f t="shared" si="3"/>
        <v>1</v>
      </c>
      <c r="AE10" s="21">
        <f t="shared" si="4"/>
        <v>4</v>
      </c>
      <c r="AF10" s="21">
        <f t="shared" si="5"/>
        <v>100</v>
      </c>
      <c r="AG10" s="21">
        <f t="shared" si="6"/>
        <v>1</v>
      </c>
      <c r="AH10" s="21">
        <f t="shared" si="7"/>
        <v>2</v>
      </c>
      <c r="AI10" s="21">
        <f t="shared" si="8"/>
        <v>2</v>
      </c>
      <c r="AJ10" s="21">
        <f t="shared" si="9"/>
        <v>2</v>
      </c>
      <c r="AK10" s="21">
        <f t="shared" si="10"/>
        <v>100</v>
      </c>
      <c r="AL10" s="21">
        <f t="shared" si="13"/>
        <v>1</v>
      </c>
      <c r="AM10" s="21">
        <f t="shared" si="11"/>
        <v>2</v>
      </c>
      <c r="AN10" s="21">
        <f t="shared" si="12"/>
        <v>100</v>
      </c>
    </row>
    <row r="11" spans="1:40" x14ac:dyDescent="0.2">
      <c r="A11">
        <v>9</v>
      </c>
      <c r="B11" t="s">
        <v>20</v>
      </c>
      <c r="C11" s="17" t="s">
        <v>151</v>
      </c>
      <c r="D11" s="6" t="s">
        <v>151</v>
      </c>
      <c r="E11" s="6">
        <v>1</v>
      </c>
      <c r="F11" t="s">
        <v>138</v>
      </c>
      <c r="G11" t="s">
        <v>151</v>
      </c>
      <c r="H11">
        <v>0</v>
      </c>
      <c r="I11" s="18" t="s">
        <v>138</v>
      </c>
      <c r="J11" s="7" t="s">
        <v>151</v>
      </c>
      <c r="K11" s="7">
        <v>0</v>
      </c>
      <c r="L11" t="s">
        <v>151</v>
      </c>
      <c r="M11" t="s">
        <v>138</v>
      </c>
      <c r="N11">
        <v>0</v>
      </c>
      <c r="O11" s="10" t="s">
        <v>138</v>
      </c>
      <c r="P11" s="10" t="s">
        <v>138</v>
      </c>
      <c r="Q11" s="10">
        <v>1</v>
      </c>
      <c r="R11" t="s">
        <v>151</v>
      </c>
      <c r="S11" t="s">
        <v>151</v>
      </c>
      <c r="T11">
        <v>1</v>
      </c>
      <c r="U11" s="10" t="s">
        <v>138</v>
      </c>
      <c r="V11" s="10" t="s">
        <v>151</v>
      </c>
      <c r="W11" s="10">
        <v>0</v>
      </c>
      <c r="X11" t="s">
        <v>151</v>
      </c>
      <c r="Y11" t="s">
        <v>151</v>
      </c>
      <c r="Z11">
        <v>1</v>
      </c>
      <c r="AA11" s="21">
        <f t="shared" si="0"/>
        <v>4</v>
      </c>
      <c r="AB11" s="21">
        <f t="shared" si="1"/>
        <v>50</v>
      </c>
      <c r="AC11" s="21">
        <f t="shared" si="2"/>
        <v>0</v>
      </c>
      <c r="AD11" s="21">
        <f t="shared" si="3"/>
        <v>0</v>
      </c>
      <c r="AE11" s="21">
        <f t="shared" si="4"/>
        <v>2</v>
      </c>
      <c r="AF11" s="21">
        <f t="shared" si="5"/>
        <v>50</v>
      </c>
      <c r="AG11" s="21">
        <f t="shared" si="6"/>
        <v>0</v>
      </c>
      <c r="AH11" s="21">
        <f t="shared" si="7"/>
        <v>2</v>
      </c>
      <c r="AI11" s="23">
        <f t="shared" si="8"/>
        <v>0</v>
      </c>
      <c r="AJ11" s="23">
        <f t="shared" si="9"/>
        <v>0</v>
      </c>
      <c r="AK11" s="21">
        <f t="shared" si="10"/>
        <v>0</v>
      </c>
      <c r="AL11" s="21">
        <f t="shared" si="13"/>
        <v>0</v>
      </c>
      <c r="AM11" s="21">
        <f t="shared" si="11"/>
        <v>2</v>
      </c>
      <c r="AN11" s="21">
        <f t="shared" si="12"/>
        <v>100</v>
      </c>
    </row>
    <row r="12" spans="1:40" x14ac:dyDescent="0.2">
      <c r="A12">
        <v>10</v>
      </c>
      <c r="B12" t="s">
        <v>22</v>
      </c>
      <c r="C12" s="17" t="s">
        <v>151</v>
      </c>
      <c r="D12" s="6" t="s">
        <v>151</v>
      </c>
      <c r="E12" s="6">
        <v>1</v>
      </c>
      <c r="F12" t="s">
        <v>138</v>
      </c>
      <c r="G12" t="s">
        <v>138</v>
      </c>
      <c r="H12">
        <v>1</v>
      </c>
      <c r="I12" s="18" t="s">
        <v>138</v>
      </c>
      <c r="J12" s="7" t="s">
        <v>138</v>
      </c>
      <c r="K12" s="7">
        <v>1</v>
      </c>
      <c r="L12" t="s">
        <v>151</v>
      </c>
      <c r="M12" t="s">
        <v>151</v>
      </c>
      <c r="N12">
        <v>1</v>
      </c>
      <c r="O12" s="10" t="s">
        <v>138</v>
      </c>
      <c r="P12" s="10" t="s">
        <v>138</v>
      </c>
      <c r="Q12" s="10">
        <v>1</v>
      </c>
      <c r="R12" t="s">
        <v>151</v>
      </c>
      <c r="S12" t="s">
        <v>151</v>
      </c>
      <c r="T12">
        <v>1</v>
      </c>
      <c r="U12" s="10" t="s">
        <v>138</v>
      </c>
      <c r="V12" s="10" t="s">
        <v>138</v>
      </c>
      <c r="W12" s="10">
        <v>1</v>
      </c>
      <c r="X12" t="s">
        <v>151</v>
      </c>
      <c r="Y12" t="s">
        <v>151</v>
      </c>
      <c r="Z12">
        <v>1</v>
      </c>
      <c r="AA12" s="21">
        <f t="shared" si="0"/>
        <v>8</v>
      </c>
      <c r="AB12" s="21">
        <f t="shared" si="1"/>
        <v>100</v>
      </c>
      <c r="AC12" s="21">
        <f t="shared" si="2"/>
        <v>1</v>
      </c>
      <c r="AD12" s="21">
        <f t="shared" si="3"/>
        <v>1</v>
      </c>
      <c r="AE12" s="21">
        <f t="shared" si="4"/>
        <v>4</v>
      </c>
      <c r="AF12" s="21">
        <f t="shared" si="5"/>
        <v>100</v>
      </c>
      <c r="AG12" s="21">
        <f t="shared" si="6"/>
        <v>1</v>
      </c>
      <c r="AH12" s="21">
        <f t="shared" si="7"/>
        <v>2</v>
      </c>
      <c r="AI12" s="21">
        <f t="shared" si="8"/>
        <v>2</v>
      </c>
      <c r="AJ12" s="21">
        <f t="shared" si="9"/>
        <v>2</v>
      </c>
      <c r="AK12" s="21">
        <f t="shared" si="10"/>
        <v>100</v>
      </c>
      <c r="AL12" s="21">
        <f t="shared" si="13"/>
        <v>1</v>
      </c>
      <c r="AM12" s="21">
        <f t="shared" si="11"/>
        <v>2</v>
      </c>
      <c r="AN12" s="21">
        <f t="shared" si="12"/>
        <v>100</v>
      </c>
    </row>
    <row r="13" spans="1:40" x14ac:dyDescent="0.2">
      <c r="A13">
        <v>11</v>
      </c>
      <c r="B13" t="s">
        <v>24</v>
      </c>
      <c r="C13" s="17" t="s">
        <v>151</v>
      </c>
      <c r="D13" s="6" t="s">
        <v>151</v>
      </c>
      <c r="E13" s="6">
        <v>1</v>
      </c>
      <c r="F13" t="s">
        <v>138</v>
      </c>
      <c r="G13" t="s">
        <v>138</v>
      </c>
      <c r="H13">
        <v>1</v>
      </c>
      <c r="I13" s="18" t="s">
        <v>138</v>
      </c>
      <c r="J13" s="7" t="s">
        <v>138</v>
      </c>
      <c r="K13" s="7">
        <v>1</v>
      </c>
      <c r="L13" t="s">
        <v>151</v>
      </c>
      <c r="M13" t="s">
        <v>138</v>
      </c>
      <c r="N13">
        <v>0</v>
      </c>
      <c r="O13" s="10" t="s">
        <v>138</v>
      </c>
      <c r="P13" s="10" t="s">
        <v>138</v>
      </c>
      <c r="Q13" s="10">
        <v>1</v>
      </c>
      <c r="R13" t="s">
        <v>151</v>
      </c>
      <c r="S13" t="s">
        <v>151</v>
      </c>
      <c r="T13">
        <v>1</v>
      </c>
      <c r="U13" s="10" t="s">
        <v>138</v>
      </c>
      <c r="V13" s="10" t="s">
        <v>151</v>
      </c>
      <c r="W13" s="10">
        <v>0</v>
      </c>
      <c r="X13" t="s">
        <v>151</v>
      </c>
      <c r="Y13" t="s">
        <v>151</v>
      </c>
      <c r="Z13">
        <v>1</v>
      </c>
      <c r="AA13" s="21">
        <f t="shared" si="0"/>
        <v>6</v>
      </c>
      <c r="AB13" s="21">
        <f t="shared" si="1"/>
        <v>75</v>
      </c>
      <c r="AC13" s="21">
        <f t="shared" si="2"/>
        <v>0</v>
      </c>
      <c r="AD13" s="21">
        <f t="shared" si="3"/>
        <v>0</v>
      </c>
      <c r="AE13" s="21">
        <f t="shared" si="4"/>
        <v>4</v>
      </c>
      <c r="AF13" s="21">
        <f t="shared" si="5"/>
        <v>100</v>
      </c>
      <c r="AG13" s="21">
        <f t="shared" si="6"/>
        <v>1</v>
      </c>
      <c r="AH13" s="21">
        <f t="shared" si="7"/>
        <v>2</v>
      </c>
      <c r="AI13" s="21">
        <f t="shared" si="8"/>
        <v>2</v>
      </c>
      <c r="AJ13" s="21">
        <f t="shared" si="9"/>
        <v>0</v>
      </c>
      <c r="AK13" s="21">
        <f t="shared" si="10"/>
        <v>0</v>
      </c>
      <c r="AL13" s="21">
        <f t="shared" si="13"/>
        <v>0</v>
      </c>
      <c r="AM13" s="21">
        <f t="shared" si="11"/>
        <v>2</v>
      </c>
      <c r="AN13" s="21">
        <f t="shared" si="12"/>
        <v>100</v>
      </c>
    </row>
    <row r="14" spans="1:40" x14ac:dyDescent="0.2">
      <c r="A14">
        <v>12</v>
      </c>
      <c r="B14" t="s">
        <v>26</v>
      </c>
      <c r="C14" s="17" t="s">
        <v>151</v>
      </c>
      <c r="D14" s="6" t="s">
        <v>151</v>
      </c>
      <c r="E14" s="6">
        <v>1</v>
      </c>
      <c r="F14" t="s">
        <v>138</v>
      </c>
      <c r="G14" t="s">
        <v>138</v>
      </c>
      <c r="H14">
        <v>1</v>
      </c>
      <c r="I14" s="18" t="s">
        <v>138</v>
      </c>
      <c r="J14" s="7" t="s">
        <v>138</v>
      </c>
      <c r="K14" s="7">
        <v>1</v>
      </c>
      <c r="L14" t="s">
        <v>151</v>
      </c>
      <c r="M14" t="s">
        <v>151</v>
      </c>
      <c r="N14">
        <v>1</v>
      </c>
      <c r="O14" s="10" t="s">
        <v>138</v>
      </c>
      <c r="P14" s="10" t="s">
        <v>138</v>
      </c>
      <c r="Q14" s="10">
        <v>1</v>
      </c>
      <c r="R14" t="s">
        <v>151</v>
      </c>
      <c r="S14" t="s">
        <v>151</v>
      </c>
      <c r="T14">
        <v>1</v>
      </c>
      <c r="U14" s="10" t="s">
        <v>138</v>
      </c>
      <c r="V14" s="10" t="s">
        <v>138</v>
      </c>
      <c r="W14" s="10">
        <v>1</v>
      </c>
      <c r="X14" t="s">
        <v>151</v>
      </c>
      <c r="Y14" t="s">
        <v>151</v>
      </c>
      <c r="Z14">
        <v>1</v>
      </c>
      <c r="AA14" s="21">
        <f t="shared" si="0"/>
        <v>8</v>
      </c>
      <c r="AB14" s="21">
        <f t="shared" si="1"/>
        <v>100</v>
      </c>
      <c r="AC14" s="21">
        <f t="shared" si="2"/>
        <v>1</v>
      </c>
      <c r="AD14" s="21">
        <f t="shared" si="3"/>
        <v>1</v>
      </c>
      <c r="AE14" s="21">
        <f t="shared" si="4"/>
        <v>4</v>
      </c>
      <c r="AF14" s="21">
        <f t="shared" si="5"/>
        <v>100</v>
      </c>
      <c r="AG14" s="21">
        <f t="shared" si="6"/>
        <v>1</v>
      </c>
      <c r="AH14" s="21">
        <f t="shared" si="7"/>
        <v>2</v>
      </c>
      <c r="AI14" s="21">
        <f t="shared" si="8"/>
        <v>2</v>
      </c>
      <c r="AJ14" s="21">
        <f t="shared" si="9"/>
        <v>2</v>
      </c>
      <c r="AK14" s="21">
        <f t="shared" si="10"/>
        <v>100</v>
      </c>
      <c r="AL14" s="21">
        <f t="shared" si="13"/>
        <v>1</v>
      </c>
      <c r="AM14" s="21">
        <f t="shared" si="11"/>
        <v>2</v>
      </c>
      <c r="AN14" s="21">
        <f t="shared" si="12"/>
        <v>100</v>
      </c>
    </row>
    <row r="15" spans="1:40" x14ac:dyDescent="0.2">
      <c r="A15">
        <v>13</v>
      </c>
      <c r="B15" t="s">
        <v>28</v>
      </c>
      <c r="C15" s="17" t="s">
        <v>151</v>
      </c>
      <c r="D15" s="6" t="s">
        <v>151</v>
      </c>
      <c r="E15" s="6">
        <v>1</v>
      </c>
      <c r="F15" t="s">
        <v>138</v>
      </c>
      <c r="G15" t="s">
        <v>151</v>
      </c>
      <c r="H15">
        <v>0</v>
      </c>
      <c r="I15" s="18" t="s">
        <v>138</v>
      </c>
      <c r="J15" s="7" t="s">
        <v>138</v>
      </c>
      <c r="K15" s="7">
        <v>1</v>
      </c>
      <c r="L15" t="s">
        <v>151</v>
      </c>
      <c r="M15" t="s">
        <v>138</v>
      </c>
      <c r="N15">
        <v>0</v>
      </c>
      <c r="O15" s="10" t="s">
        <v>138</v>
      </c>
      <c r="P15" s="10" t="s">
        <v>138</v>
      </c>
      <c r="Q15" s="10">
        <v>1</v>
      </c>
      <c r="R15" t="s">
        <v>151</v>
      </c>
      <c r="S15" t="s">
        <v>138</v>
      </c>
      <c r="T15">
        <v>0</v>
      </c>
      <c r="U15" s="10" t="s">
        <v>138</v>
      </c>
      <c r="V15" s="10" t="s">
        <v>151</v>
      </c>
      <c r="W15" s="10">
        <v>0</v>
      </c>
      <c r="X15" t="s">
        <v>151</v>
      </c>
      <c r="Y15" t="s">
        <v>138</v>
      </c>
      <c r="Z15">
        <v>0</v>
      </c>
      <c r="AA15" s="21">
        <f t="shared" si="0"/>
        <v>3</v>
      </c>
      <c r="AB15" s="21">
        <f t="shared" si="1"/>
        <v>37.5</v>
      </c>
      <c r="AC15" s="21">
        <f t="shared" si="2"/>
        <v>0</v>
      </c>
      <c r="AD15" s="21">
        <f t="shared" si="3"/>
        <v>0</v>
      </c>
      <c r="AE15" s="21">
        <f t="shared" si="4"/>
        <v>2</v>
      </c>
      <c r="AF15" s="21">
        <f t="shared" si="5"/>
        <v>50</v>
      </c>
      <c r="AG15" s="21">
        <f t="shared" si="6"/>
        <v>0</v>
      </c>
      <c r="AH15" s="21">
        <f t="shared" si="7"/>
        <v>1</v>
      </c>
      <c r="AI15" s="21">
        <f t="shared" si="8"/>
        <v>1</v>
      </c>
      <c r="AJ15" s="21">
        <f t="shared" si="9"/>
        <v>0</v>
      </c>
      <c r="AK15" s="21">
        <f t="shared" si="10"/>
        <v>0</v>
      </c>
      <c r="AL15" s="21">
        <f t="shared" si="13"/>
        <v>0</v>
      </c>
      <c r="AM15" s="21">
        <f t="shared" si="11"/>
        <v>1</v>
      </c>
      <c r="AN15" s="21">
        <f t="shared" si="12"/>
        <v>50</v>
      </c>
    </row>
    <row r="16" spans="1:40" x14ac:dyDescent="0.2">
      <c r="A16">
        <v>14</v>
      </c>
      <c r="B16" t="s">
        <v>30</v>
      </c>
      <c r="C16" s="17" t="s">
        <v>151</v>
      </c>
      <c r="D16" s="6" t="s">
        <v>151</v>
      </c>
      <c r="E16" s="6">
        <v>1</v>
      </c>
      <c r="F16" t="s">
        <v>138</v>
      </c>
      <c r="G16" t="s">
        <v>138</v>
      </c>
      <c r="H16">
        <v>1</v>
      </c>
      <c r="I16" s="18" t="s">
        <v>138</v>
      </c>
      <c r="J16" s="7" t="s">
        <v>151</v>
      </c>
      <c r="K16" s="7">
        <v>0</v>
      </c>
      <c r="L16" t="s">
        <v>151</v>
      </c>
      <c r="M16" t="s">
        <v>151</v>
      </c>
      <c r="N16">
        <v>1</v>
      </c>
      <c r="O16" s="10" t="s">
        <v>138</v>
      </c>
      <c r="P16" s="10" t="s">
        <v>138</v>
      </c>
      <c r="Q16" s="10">
        <v>1</v>
      </c>
      <c r="R16" t="s">
        <v>151</v>
      </c>
      <c r="S16" t="s">
        <v>151</v>
      </c>
      <c r="T16">
        <v>1</v>
      </c>
      <c r="U16" s="10" t="s">
        <v>138</v>
      </c>
      <c r="V16" s="10" t="s">
        <v>138</v>
      </c>
      <c r="W16" s="10">
        <v>1</v>
      </c>
      <c r="X16" t="s">
        <v>151</v>
      </c>
      <c r="Y16" t="s">
        <v>151</v>
      </c>
      <c r="Z16">
        <v>1</v>
      </c>
      <c r="AA16" s="21">
        <f t="shared" si="0"/>
        <v>7</v>
      </c>
      <c r="AB16" s="21">
        <f t="shared" si="1"/>
        <v>87.5</v>
      </c>
      <c r="AC16" s="21">
        <f t="shared" si="2"/>
        <v>1</v>
      </c>
      <c r="AD16" s="21">
        <f t="shared" si="3"/>
        <v>0</v>
      </c>
      <c r="AE16" s="21">
        <f t="shared" si="4"/>
        <v>3</v>
      </c>
      <c r="AF16" s="21">
        <f t="shared" si="5"/>
        <v>75</v>
      </c>
      <c r="AG16" s="21">
        <f t="shared" si="6"/>
        <v>0</v>
      </c>
      <c r="AH16" s="21">
        <f t="shared" si="7"/>
        <v>2</v>
      </c>
      <c r="AI16" s="21">
        <f t="shared" si="8"/>
        <v>1</v>
      </c>
      <c r="AJ16" s="21">
        <f t="shared" si="9"/>
        <v>2</v>
      </c>
      <c r="AK16" s="21">
        <f t="shared" si="10"/>
        <v>100</v>
      </c>
      <c r="AL16" s="21">
        <f t="shared" si="13"/>
        <v>1</v>
      </c>
      <c r="AM16" s="21">
        <f t="shared" si="11"/>
        <v>2</v>
      </c>
      <c r="AN16" s="21">
        <f t="shared" si="12"/>
        <v>100</v>
      </c>
    </row>
    <row r="17" spans="1:40" x14ac:dyDescent="0.2">
      <c r="A17">
        <v>15</v>
      </c>
      <c r="B17">
        <v>3464</v>
      </c>
      <c r="C17" s="17" t="s">
        <v>151</v>
      </c>
      <c r="D17" s="6" t="s">
        <v>151</v>
      </c>
      <c r="E17" s="6">
        <v>1</v>
      </c>
      <c r="F17" t="s">
        <v>138</v>
      </c>
      <c r="G17" t="s">
        <v>151</v>
      </c>
      <c r="H17">
        <v>0</v>
      </c>
      <c r="I17" s="18" t="s">
        <v>138</v>
      </c>
      <c r="J17" s="7" t="s">
        <v>138</v>
      </c>
      <c r="K17" s="7">
        <v>1</v>
      </c>
      <c r="L17" t="s">
        <v>151</v>
      </c>
      <c r="M17" t="s">
        <v>138</v>
      </c>
      <c r="N17">
        <v>0</v>
      </c>
      <c r="O17" s="10" t="s">
        <v>138</v>
      </c>
      <c r="P17" s="10" t="s">
        <v>138</v>
      </c>
      <c r="Q17" s="10">
        <v>1</v>
      </c>
      <c r="R17" t="s">
        <v>151</v>
      </c>
      <c r="S17" t="s">
        <v>151</v>
      </c>
      <c r="T17">
        <v>1</v>
      </c>
      <c r="U17" s="10" t="s">
        <v>138</v>
      </c>
      <c r="V17" s="10" t="s">
        <v>151</v>
      </c>
      <c r="W17" s="10">
        <v>0</v>
      </c>
      <c r="X17" t="s">
        <v>151</v>
      </c>
      <c r="Y17" t="s">
        <v>151</v>
      </c>
      <c r="Z17">
        <v>1</v>
      </c>
      <c r="AA17" s="21">
        <f t="shared" si="0"/>
        <v>5</v>
      </c>
      <c r="AB17" s="21">
        <f t="shared" si="1"/>
        <v>62.5</v>
      </c>
      <c r="AC17" s="21">
        <f t="shared" si="2"/>
        <v>0</v>
      </c>
      <c r="AD17" s="21">
        <f t="shared" si="3"/>
        <v>0</v>
      </c>
      <c r="AE17" s="21">
        <f t="shared" si="4"/>
        <v>3</v>
      </c>
      <c r="AF17" s="21">
        <f t="shared" si="5"/>
        <v>75</v>
      </c>
      <c r="AG17" s="21">
        <f t="shared" si="6"/>
        <v>0</v>
      </c>
      <c r="AH17" s="21">
        <f t="shared" si="7"/>
        <v>2</v>
      </c>
      <c r="AI17" s="21">
        <f t="shared" si="8"/>
        <v>1</v>
      </c>
      <c r="AJ17" s="21">
        <f t="shared" si="9"/>
        <v>0</v>
      </c>
      <c r="AK17" s="21">
        <f t="shared" si="10"/>
        <v>0</v>
      </c>
      <c r="AL17" s="21">
        <f t="shared" si="13"/>
        <v>0</v>
      </c>
      <c r="AM17" s="21">
        <f t="shared" si="11"/>
        <v>2</v>
      </c>
      <c r="AN17" s="21">
        <f t="shared" si="12"/>
        <v>100</v>
      </c>
    </row>
    <row r="18" spans="1:40" x14ac:dyDescent="0.2">
      <c r="A18">
        <v>16</v>
      </c>
      <c r="B18" t="s">
        <v>33</v>
      </c>
      <c r="C18" s="17" t="s">
        <v>151</v>
      </c>
      <c r="D18" s="6" t="s">
        <v>151</v>
      </c>
      <c r="E18" s="6">
        <v>1</v>
      </c>
      <c r="F18" t="s">
        <v>138</v>
      </c>
      <c r="G18" t="s">
        <v>138</v>
      </c>
      <c r="H18">
        <v>1</v>
      </c>
      <c r="I18" s="18" t="s">
        <v>138</v>
      </c>
      <c r="J18" s="7" t="s">
        <v>138</v>
      </c>
      <c r="K18" s="7">
        <v>1</v>
      </c>
      <c r="L18" t="s">
        <v>151</v>
      </c>
      <c r="M18" t="s">
        <v>151</v>
      </c>
      <c r="N18">
        <v>1</v>
      </c>
      <c r="O18" s="10" t="s">
        <v>138</v>
      </c>
      <c r="P18" s="10" t="s">
        <v>138</v>
      </c>
      <c r="Q18" s="10">
        <v>1</v>
      </c>
      <c r="R18" t="s">
        <v>151</v>
      </c>
      <c r="S18" t="s">
        <v>151</v>
      </c>
      <c r="T18">
        <v>1</v>
      </c>
      <c r="U18" s="10" t="s">
        <v>138</v>
      </c>
      <c r="V18" s="10" t="s">
        <v>138</v>
      </c>
      <c r="W18" s="10">
        <v>1</v>
      </c>
      <c r="X18" t="s">
        <v>151</v>
      </c>
      <c r="Y18" t="s">
        <v>151</v>
      </c>
      <c r="Z18">
        <v>1</v>
      </c>
      <c r="AA18" s="21">
        <f t="shared" si="0"/>
        <v>8</v>
      </c>
      <c r="AB18" s="21">
        <f t="shared" si="1"/>
        <v>100</v>
      </c>
      <c r="AC18" s="21">
        <f t="shared" si="2"/>
        <v>1</v>
      </c>
      <c r="AD18" s="21">
        <f t="shared" si="3"/>
        <v>1</v>
      </c>
      <c r="AE18" s="21">
        <f t="shared" si="4"/>
        <v>4</v>
      </c>
      <c r="AF18" s="21">
        <f t="shared" si="5"/>
        <v>100</v>
      </c>
      <c r="AG18" s="21">
        <f t="shared" si="6"/>
        <v>1</v>
      </c>
      <c r="AH18" s="21">
        <f t="shared" si="7"/>
        <v>2</v>
      </c>
      <c r="AI18" s="21">
        <f t="shared" si="8"/>
        <v>2</v>
      </c>
      <c r="AJ18" s="21">
        <f t="shared" si="9"/>
        <v>2</v>
      </c>
      <c r="AK18" s="21">
        <f t="shared" si="10"/>
        <v>100</v>
      </c>
      <c r="AL18" s="21">
        <f t="shared" si="13"/>
        <v>1</v>
      </c>
      <c r="AM18" s="21">
        <f t="shared" si="11"/>
        <v>2</v>
      </c>
      <c r="AN18" s="21">
        <f t="shared" si="12"/>
        <v>100</v>
      </c>
    </row>
    <row r="19" spans="1:40" x14ac:dyDescent="0.2">
      <c r="A19">
        <v>17</v>
      </c>
      <c r="B19" t="s">
        <v>35</v>
      </c>
      <c r="C19" s="17" t="s">
        <v>151</v>
      </c>
      <c r="D19" s="6" t="s">
        <v>151</v>
      </c>
      <c r="E19" s="6">
        <v>1</v>
      </c>
      <c r="F19" t="s">
        <v>138</v>
      </c>
      <c r="G19" t="s">
        <v>151</v>
      </c>
      <c r="H19">
        <v>0</v>
      </c>
      <c r="I19" s="18" t="s">
        <v>138</v>
      </c>
      <c r="J19" s="7" t="s">
        <v>138</v>
      </c>
      <c r="K19" s="7">
        <v>1</v>
      </c>
      <c r="L19" t="s">
        <v>151</v>
      </c>
      <c r="M19" t="s">
        <v>138</v>
      </c>
      <c r="N19">
        <v>0</v>
      </c>
      <c r="O19" s="10" t="s">
        <v>138</v>
      </c>
      <c r="P19" s="10" t="s">
        <v>151</v>
      </c>
      <c r="Q19" s="10">
        <v>0</v>
      </c>
      <c r="R19" t="s">
        <v>151</v>
      </c>
      <c r="S19" t="s">
        <v>151</v>
      </c>
      <c r="T19">
        <v>1</v>
      </c>
      <c r="U19" s="10" t="s">
        <v>138</v>
      </c>
      <c r="V19" s="10" t="s">
        <v>138</v>
      </c>
      <c r="W19" s="10">
        <v>1</v>
      </c>
      <c r="X19" t="s">
        <v>151</v>
      </c>
      <c r="Y19" t="s">
        <v>151</v>
      </c>
      <c r="Z19">
        <v>1</v>
      </c>
      <c r="AA19" s="21">
        <f t="shared" si="0"/>
        <v>5</v>
      </c>
      <c r="AB19" s="21">
        <f t="shared" si="1"/>
        <v>62.5</v>
      </c>
      <c r="AC19" s="21">
        <f t="shared" si="2"/>
        <v>0</v>
      </c>
      <c r="AD19" s="21">
        <f t="shared" si="3"/>
        <v>0</v>
      </c>
      <c r="AE19" s="21">
        <f t="shared" si="4"/>
        <v>2</v>
      </c>
      <c r="AF19" s="21">
        <f t="shared" si="5"/>
        <v>50</v>
      </c>
      <c r="AG19" s="21">
        <f t="shared" si="6"/>
        <v>0</v>
      </c>
      <c r="AH19" s="21">
        <f t="shared" si="7"/>
        <v>1</v>
      </c>
      <c r="AI19" s="21">
        <f t="shared" si="8"/>
        <v>1</v>
      </c>
      <c r="AJ19" s="21">
        <f t="shared" si="9"/>
        <v>1</v>
      </c>
      <c r="AK19" s="21">
        <f t="shared" si="10"/>
        <v>50</v>
      </c>
      <c r="AL19" s="21">
        <f t="shared" si="13"/>
        <v>0</v>
      </c>
      <c r="AM19" s="21">
        <f t="shared" si="11"/>
        <v>2</v>
      </c>
      <c r="AN19" s="21">
        <f t="shared" si="12"/>
        <v>100</v>
      </c>
    </row>
    <row r="20" spans="1:40" x14ac:dyDescent="0.2">
      <c r="A20">
        <v>18</v>
      </c>
      <c r="B20" t="s">
        <v>37</v>
      </c>
      <c r="C20" s="17" t="s">
        <v>151</v>
      </c>
      <c r="D20" s="6" t="s">
        <v>151</v>
      </c>
      <c r="E20" s="6">
        <v>1</v>
      </c>
      <c r="F20" t="s">
        <v>138</v>
      </c>
      <c r="G20" t="s">
        <v>151</v>
      </c>
      <c r="H20">
        <v>0</v>
      </c>
      <c r="I20" s="18" t="s">
        <v>138</v>
      </c>
      <c r="J20" s="7" t="s">
        <v>151</v>
      </c>
      <c r="K20" s="7">
        <v>0</v>
      </c>
      <c r="L20" t="s">
        <v>151</v>
      </c>
      <c r="M20" t="s">
        <v>138</v>
      </c>
      <c r="N20">
        <v>0</v>
      </c>
      <c r="O20" s="10" t="s">
        <v>138</v>
      </c>
      <c r="P20" s="10" t="s">
        <v>138</v>
      </c>
      <c r="Q20" s="10">
        <v>1</v>
      </c>
      <c r="R20" t="s">
        <v>151</v>
      </c>
      <c r="S20" t="s">
        <v>151</v>
      </c>
      <c r="T20">
        <v>1</v>
      </c>
      <c r="U20" s="10" t="s">
        <v>138</v>
      </c>
      <c r="V20" s="10" t="s">
        <v>151</v>
      </c>
      <c r="W20" s="10">
        <v>0</v>
      </c>
      <c r="X20" t="s">
        <v>151</v>
      </c>
      <c r="Y20" t="s">
        <v>151</v>
      </c>
      <c r="Z20">
        <v>1</v>
      </c>
      <c r="AA20" s="21">
        <f t="shared" si="0"/>
        <v>4</v>
      </c>
      <c r="AB20" s="21">
        <f t="shared" si="1"/>
        <v>50</v>
      </c>
      <c r="AC20" s="21">
        <f t="shared" si="2"/>
        <v>0</v>
      </c>
      <c r="AD20" s="21">
        <f t="shared" si="3"/>
        <v>0</v>
      </c>
      <c r="AE20" s="21">
        <f t="shared" si="4"/>
        <v>2</v>
      </c>
      <c r="AF20" s="21">
        <f t="shared" si="5"/>
        <v>50</v>
      </c>
      <c r="AG20" s="21">
        <f t="shared" si="6"/>
        <v>0</v>
      </c>
      <c r="AH20" s="21">
        <f t="shared" si="7"/>
        <v>2</v>
      </c>
      <c r="AI20" s="23">
        <f t="shared" si="8"/>
        <v>0</v>
      </c>
      <c r="AJ20" s="23">
        <f t="shared" si="9"/>
        <v>0</v>
      </c>
      <c r="AK20" s="21">
        <f t="shared" si="10"/>
        <v>0</v>
      </c>
      <c r="AL20" s="21">
        <f t="shared" si="13"/>
        <v>0</v>
      </c>
      <c r="AM20" s="21">
        <f t="shared" si="11"/>
        <v>2</v>
      </c>
      <c r="AN20" s="21">
        <f t="shared" si="12"/>
        <v>100</v>
      </c>
    </row>
    <row r="21" spans="1:40" x14ac:dyDescent="0.2">
      <c r="A21">
        <v>19</v>
      </c>
      <c r="B21" t="s">
        <v>39</v>
      </c>
      <c r="C21" s="17" t="s">
        <v>151</v>
      </c>
      <c r="D21" s="6" t="s">
        <v>151</v>
      </c>
      <c r="E21" s="6">
        <v>1</v>
      </c>
      <c r="F21" t="s">
        <v>138</v>
      </c>
      <c r="G21" t="s">
        <v>138</v>
      </c>
      <c r="H21">
        <v>1</v>
      </c>
      <c r="I21" s="18" t="s">
        <v>138</v>
      </c>
      <c r="J21" s="7" t="s">
        <v>138</v>
      </c>
      <c r="K21" s="7">
        <v>1</v>
      </c>
      <c r="L21" t="s">
        <v>151</v>
      </c>
      <c r="M21" t="s">
        <v>151</v>
      </c>
      <c r="N21">
        <v>1</v>
      </c>
      <c r="O21" s="10" t="s">
        <v>138</v>
      </c>
      <c r="P21" s="10" t="s">
        <v>138</v>
      </c>
      <c r="Q21" s="10">
        <v>1</v>
      </c>
      <c r="R21" t="s">
        <v>151</v>
      </c>
      <c r="S21" t="s">
        <v>151</v>
      </c>
      <c r="T21">
        <v>1</v>
      </c>
      <c r="U21" s="10" t="s">
        <v>138</v>
      </c>
      <c r="V21" s="10" t="s">
        <v>138</v>
      </c>
      <c r="W21" s="10">
        <v>1</v>
      </c>
      <c r="X21" t="s">
        <v>151</v>
      </c>
      <c r="Y21" t="s">
        <v>151</v>
      </c>
      <c r="Z21">
        <v>1</v>
      </c>
      <c r="AA21" s="21">
        <f t="shared" si="0"/>
        <v>8</v>
      </c>
      <c r="AB21" s="21">
        <f t="shared" si="1"/>
        <v>100</v>
      </c>
      <c r="AC21" s="21">
        <f t="shared" si="2"/>
        <v>1</v>
      </c>
      <c r="AD21" s="21">
        <f t="shared" si="3"/>
        <v>1</v>
      </c>
      <c r="AE21" s="21">
        <f t="shared" si="4"/>
        <v>4</v>
      </c>
      <c r="AF21" s="21">
        <f t="shared" si="5"/>
        <v>100</v>
      </c>
      <c r="AG21" s="21">
        <f t="shared" si="6"/>
        <v>1</v>
      </c>
      <c r="AH21" s="21">
        <f t="shared" si="7"/>
        <v>2</v>
      </c>
      <c r="AI21" s="21">
        <f t="shared" si="8"/>
        <v>2</v>
      </c>
      <c r="AJ21" s="21">
        <f t="shared" si="9"/>
        <v>2</v>
      </c>
      <c r="AK21" s="21">
        <f t="shared" si="10"/>
        <v>100</v>
      </c>
      <c r="AL21" s="21">
        <f t="shared" si="13"/>
        <v>1</v>
      </c>
      <c r="AM21" s="21">
        <f t="shared" si="11"/>
        <v>2</v>
      </c>
      <c r="AN21" s="21">
        <f t="shared" si="12"/>
        <v>100</v>
      </c>
    </row>
    <row r="22" spans="1:40" x14ac:dyDescent="0.2">
      <c r="A22">
        <v>20</v>
      </c>
      <c r="B22" t="s">
        <v>41</v>
      </c>
      <c r="C22" s="17" t="s">
        <v>151</v>
      </c>
      <c r="D22" s="6" t="s">
        <v>151</v>
      </c>
      <c r="E22" s="6">
        <v>1</v>
      </c>
      <c r="F22" t="s">
        <v>138</v>
      </c>
      <c r="G22" t="s">
        <v>138</v>
      </c>
      <c r="H22">
        <v>1</v>
      </c>
      <c r="I22" s="18" t="s">
        <v>138</v>
      </c>
      <c r="J22" s="7" t="s">
        <v>138</v>
      </c>
      <c r="K22" s="7">
        <v>1</v>
      </c>
      <c r="L22" t="s">
        <v>151</v>
      </c>
      <c r="M22" t="s">
        <v>151</v>
      </c>
      <c r="N22">
        <v>1</v>
      </c>
      <c r="O22" s="10" t="s">
        <v>138</v>
      </c>
      <c r="P22" s="10" t="s">
        <v>138</v>
      </c>
      <c r="Q22" s="10">
        <v>1</v>
      </c>
      <c r="R22" t="s">
        <v>151</v>
      </c>
      <c r="S22" t="s">
        <v>151</v>
      </c>
      <c r="T22">
        <v>1</v>
      </c>
      <c r="U22" s="10" t="s">
        <v>138</v>
      </c>
      <c r="V22" s="10" t="s">
        <v>138</v>
      </c>
      <c r="W22" s="10">
        <v>1</v>
      </c>
      <c r="X22" t="s">
        <v>151</v>
      </c>
      <c r="Y22" t="s">
        <v>151</v>
      </c>
      <c r="Z22">
        <v>1</v>
      </c>
      <c r="AA22" s="21">
        <f t="shared" si="0"/>
        <v>8</v>
      </c>
      <c r="AB22" s="21">
        <f t="shared" si="1"/>
        <v>100</v>
      </c>
      <c r="AC22" s="21">
        <f t="shared" si="2"/>
        <v>1</v>
      </c>
      <c r="AD22" s="21">
        <f t="shared" si="3"/>
        <v>1</v>
      </c>
      <c r="AE22" s="21">
        <f t="shared" si="4"/>
        <v>4</v>
      </c>
      <c r="AF22" s="21">
        <f t="shared" si="5"/>
        <v>100</v>
      </c>
      <c r="AG22" s="21">
        <f t="shared" si="6"/>
        <v>1</v>
      </c>
      <c r="AH22" s="21">
        <f t="shared" si="7"/>
        <v>2</v>
      </c>
      <c r="AI22" s="21">
        <f t="shared" si="8"/>
        <v>2</v>
      </c>
      <c r="AJ22" s="21">
        <f t="shared" si="9"/>
        <v>2</v>
      </c>
      <c r="AK22" s="21">
        <f t="shared" si="10"/>
        <v>100</v>
      </c>
      <c r="AL22" s="21">
        <f t="shared" si="13"/>
        <v>1</v>
      </c>
      <c r="AM22" s="21">
        <f t="shared" si="11"/>
        <v>2</v>
      </c>
      <c r="AN22" s="21">
        <f t="shared" si="12"/>
        <v>100</v>
      </c>
    </row>
    <row r="23" spans="1:40" x14ac:dyDescent="0.2">
      <c r="A23">
        <v>21</v>
      </c>
      <c r="B23" t="s">
        <v>43</v>
      </c>
      <c r="C23" s="17" t="s">
        <v>151</v>
      </c>
      <c r="D23" s="6" t="s">
        <v>151</v>
      </c>
      <c r="E23" s="6">
        <v>1</v>
      </c>
      <c r="F23" t="s">
        <v>138</v>
      </c>
      <c r="G23" t="s">
        <v>138</v>
      </c>
      <c r="H23">
        <v>1</v>
      </c>
      <c r="I23" s="18" t="s">
        <v>138</v>
      </c>
      <c r="J23" s="7" t="s">
        <v>138</v>
      </c>
      <c r="K23" s="7">
        <v>1</v>
      </c>
      <c r="L23" t="s">
        <v>151</v>
      </c>
      <c r="M23" t="s">
        <v>151</v>
      </c>
      <c r="N23">
        <v>1</v>
      </c>
      <c r="O23" s="10" t="s">
        <v>138</v>
      </c>
      <c r="P23" s="10" t="s">
        <v>138</v>
      </c>
      <c r="Q23" s="10">
        <v>1</v>
      </c>
      <c r="R23" t="s">
        <v>151</v>
      </c>
      <c r="S23" t="s">
        <v>151</v>
      </c>
      <c r="T23">
        <v>1</v>
      </c>
      <c r="U23" s="10" t="s">
        <v>138</v>
      </c>
      <c r="V23" s="10" t="s">
        <v>138</v>
      </c>
      <c r="W23" s="10">
        <v>1</v>
      </c>
      <c r="X23" t="s">
        <v>151</v>
      </c>
      <c r="Y23" t="s">
        <v>151</v>
      </c>
      <c r="Z23">
        <v>1</v>
      </c>
      <c r="AA23" s="21">
        <f t="shared" si="0"/>
        <v>8</v>
      </c>
      <c r="AB23" s="21">
        <f t="shared" si="1"/>
        <v>100</v>
      </c>
      <c r="AC23" s="21">
        <f t="shared" si="2"/>
        <v>1</v>
      </c>
      <c r="AD23" s="21">
        <f t="shared" si="3"/>
        <v>1</v>
      </c>
      <c r="AE23" s="21">
        <f t="shared" si="4"/>
        <v>4</v>
      </c>
      <c r="AF23" s="21">
        <f t="shared" si="5"/>
        <v>100</v>
      </c>
      <c r="AG23" s="21">
        <f t="shared" si="6"/>
        <v>1</v>
      </c>
      <c r="AH23" s="21">
        <f t="shared" si="7"/>
        <v>2</v>
      </c>
      <c r="AI23" s="21">
        <f t="shared" si="8"/>
        <v>2</v>
      </c>
      <c r="AJ23" s="21">
        <f t="shared" si="9"/>
        <v>2</v>
      </c>
      <c r="AK23" s="21">
        <f t="shared" si="10"/>
        <v>100</v>
      </c>
      <c r="AL23" s="21">
        <f t="shared" si="13"/>
        <v>1</v>
      </c>
      <c r="AM23" s="21">
        <f t="shared" si="11"/>
        <v>2</v>
      </c>
      <c r="AN23" s="21">
        <f t="shared" si="12"/>
        <v>100</v>
      </c>
    </row>
    <row r="24" spans="1:40" x14ac:dyDescent="0.2">
      <c r="A24">
        <v>22</v>
      </c>
      <c r="B24" t="s">
        <v>45</v>
      </c>
      <c r="C24" s="17" t="s">
        <v>151</v>
      </c>
      <c r="D24" s="6" t="s">
        <v>151</v>
      </c>
      <c r="E24" s="6">
        <v>1</v>
      </c>
      <c r="F24" t="s">
        <v>138</v>
      </c>
      <c r="G24" t="s">
        <v>138</v>
      </c>
      <c r="H24">
        <v>1</v>
      </c>
      <c r="I24" s="18" t="s">
        <v>138</v>
      </c>
      <c r="J24" s="7" t="s">
        <v>151</v>
      </c>
      <c r="K24" s="7">
        <v>0</v>
      </c>
      <c r="L24" t="s">
        <v>151</v>
      </c>
      <c r="M24" t="s">
        <v>151</v>
      </c>
      <c r="N24">
        <v>1</v>
      </c>
      <c r="O24" s="10" t="s">
        <v>138</v>
      </c>
      <c r="P24" s="10" t="s">
        <v>138</v>
      </c>
      <c r="Q24" s="10">
        <v>1</v>
      </c>
      <c r="R24" t="s">
        <v>151</v>
      </c>
      <c r="S24" t="s">
        <v>151</v>
      </c>
      <c r="T24">
        <v>1</v>
      </c>
      <c r="U24" s="10" t="s">
        <v>138</v>
      </c>
      <c r="V24" s="10" t="s">
        <v>138</v>
      </c>
      <c r="W24" s="10">
        <v>1</v>
      </c>
      <c r="X24" t="s">
        <v>151</v>
      </c>
      <c r="Y24" t="s">
        <v>151</v>
      </c>
      <c r="Z24">
        <v>1</v>
      </c>
      <c r="AA24" s="21">
        <f t="shared" si="0"/>
        <v>7</v>
      </c>
      <c r="AB24" s="21">
        <f t="shared" si="1"/>
        <v>87.5</v>
      </c>
      <c r="AC24" s="21">
        <f t="shared" si="2"/>
        <v>1</v>
      </c>
      <c r="AD24" s="21">
        <f t="shared" si="3"/>
        <v>0</v>
      </c>
      <c r="AE24" s="21">
        <f t="shared" si="4"/>
        <v>3</v>
      </c>
      <c r="AF24" s="21">
        <f t="shared" si="5"/>
        <v>75</v>
      </c>
      <c r="AG24" s="21">
        <f t="shared" si="6"/>
        <v>0</v>
      </c>
      <c r="AH24" s="21">
        <f t="shared" si="7"/>
        <v>2</v>
      </c>
      <c r="AI24" s="21">
        <f t="shared" si="8"/>
        <v>1</v>
      </c>
      <c r="AJ24" s="21">
        <f t="shared" si="9"/>
        <v>2</v>
      </c>
      <c r="AK24" s="21">
        <f t="shared" si="10"/>
        <v>100</v>
      </c>
      <c r="AL24" s="21">
        <f t="shared" si="13"/>
        <v>1</v>
      </c>
      <c r="AM24" s="21">
        <f t="shared" si="11"/>
        <v>2</v>
      </c>
      <c r="AN24" s="21">
        <f t="shared" si="12"/>
        <v>100</v>
      </c>
    </row>
    <row r="25" spans="1:40" x14ac:dyDescent="0.2">
      <c r="A25">
        <v>23</v>
      </c>
      <c r="B25" t="s">
        <v>47</v>
      </c>
      <c r="C25" s="17" t="s">
        <v>151</v>
      </c>
      <c r="D25" s="6" t="s">
        <v>138</v>
      </c>
      <c r="E25" s="6">
        <v>0</v>
      </c>
      <c r="F25" t="s">
        <v>138</v>
      </c>
      <c r="G25" t="s">
        <v>151</v>
      </c>
      <c r="H25">
        <v>0</v>
      </c>
      <c r="I25" s="18" t="s">
        <v>138</v>
      </c>
      <c r="J25" s="7" t="s">
        <v>138</v>
      </c>
      <c r="K25" s="7">
        <v>1</v>
      </c>
      <c r="L25" t="s">
        <v>151</v>
      </c>
      <c r="M25" t="s">
        <v>151</v>
      </c>
      <c r="N25">
        <v>1</v>
      </c>
      <c r="O25" s="10" t="s">
        <v>138</v>
      </c>
      <c r="P25" s="10" t="s">
        <v>151</v>
      </c>
      <c r="Q25" s="10">
        <v>0</v>
      </c>
      <c r="R25" t="s">
        <v>151</v>
      </c>
      <c r="S25" t="s">
        <v>151</v>
      </c>
      <c r="T25">
        <v>1</v>
      </c>
      <c r="U25" s="10" t="s">
        <v>138</v>
      </c>
      <c r="V25" s="10" t="s">
        <v>138</v>
      </c>
      <c r="W25" s="10">
        <v>1</v>
      </c>
      <c r="X25" t="s">
        <v>151</v>
      </c>
      <c r="Y25" t="s">
        <v>151</v>
      </c>
      <c r="Z25">
        <v>1</v>
      </c>
      <c r="AA25" s="21">
        <f t="shared" si="0"/>
        <v>5</v>
      </c>
      <c r="AB25" s="21">
        <f t="shared" si="1"/>
        <v>62.5</v>
      </c>
      <c r="AC25" s="21">
        <f t="shared" si="2"/>
        <v>0</v>
      </c>
      <c r="AD25" s="21">
        <f t="shared" si="3"/>
        <v>0</v>
      </c>
      <c r="AE25" s="21">
        <f t="shared" si="4"/>
        <v>2</v>
      </c>
      <c r="AF25" s="21">
        <f t="shared" si="5"/>
        <v>50</v>
      </c>
      <c r="AG25" s="21">
        <f t="shared" si="6"/>
        <v>0</v>
      </c>
      <c r="AH25" s="21">
        <f t="shared" si="7"/>
        <v>1</v>
      </c>
      <c r="AI25" s="21">
        <f t="shared" si="8"/>
        <v>1</v>
      </c>
      <c r="AJ25" s="21">
        <f t="shared" si="9"/>
        <v>2</v>
      </c>
      <c r="AK25" s="21">
        <f t="shared" si="10"/>
        <v>100</v>
      </c>
      <c r="AL25" s="21">
        <f t="shared" si="13"/>
        <v>1</v>
      </c>
      <c r="AM25" s="21">
        <f t="shared" si="11"/>
        <v>1</v>
      </c>
      <c r="AN25" s="21">
        <f t="shared" si="12"/>
        <v>50</v>
      </c>
    </row>
    <row r="26" spans="1:40" x14ac:dyDescent="0.2">
      <c r="A26">
        <v>24</v>
      </c>
      <c r="B26" t="s">
        <v>49</v>
      </c>
      <c r="C26" s="17" t="s">
        <v>151</v>
      </c>
      <c r="D26" s="6" t="s">
        <v>151</v>
      </c>
      <c r="E26" s="6">
        <v>1</v>
      </c>
      <c r="F26" t="s">
        <v>138</v>
      </c>
      <c r="G26" t="s">
        <v>151</v>
      </c>
      <c r="H26">
        <v>0</v>
      </c>
      <c r="I26" s="18" t="s">
        <v>138</v>
      </c>
      <c r="J26" s="7" t="s">
        <v>138</v>
      </c>
      <c r="K26" s="7">
        <v>1</v>
      </c>
      <c r="L26" t="s">
        <v>151</v>
      </c>
      <c r="M26" t="s">
        <v>151</v>
      </c>
      <c r="N26">
        <v>1</v>
      </c>
      <c r="O26" s="10" t="s">
        <v>138</v>
      </c>
      <c r="P26" s="10" t="s">
        <v>138</v>
      </c>
      <c r="Q26" s="10">
        <v>1</v>
      </c>
      <c r="R26" t="s">
        <v>151</v>
      </c>
      <c r="S26" t="s">
        <v>151</v>
      </c>
      <c r="T26">
        <v>1</v>
      </c>
      <c r="U26" s="10" t="s">
        <v>138</v>
      </c>
      <c r="V26" s="10" t="s">
        <v>138</v>
      </c>
      <c r="W26" s="10">
        <v>1</v>
      </c>
      <c r="X26" t="s">
        <v>151</v>
      </c>
      <c r="Y26" t="s">
        <v>151</v>
      </c>
      <c r="Z26">
        <v>1</v>
      </c>
      <c r="AA26" s="21">
        <f t="shared" si="0"/>
        <v>7</v>
      </c>
      <c r="AB26" s="21">
        <f t="shared" si="1"/>
        <v>87.5</v>
      </c>
      <c r="AC26" s="21">
        <f t="shared" si="2"/>
        <v>1</v>
      </c>
      <c r="AD26" s="21">
        <f t="shared" si="3"/>
        <v>0</v>
      </c>
      <c r="AE26" s="21">
        <f t="shared" si="4"/>
        <v>3</v>
      </c>
      <c r="AF26" s="21">
        <f t="shared" si="5"/>
        <v>75</v>
      </c>
      <c r="AG26" s="21">
        <f t="shared" si="6"/>
        <v>0</v>
      </c>
      <c r="AH26" s="21">
        <f t="shared" si="7"/>
        <v>2</v>
      </c>
      <c r="AI26" s="21">
        <f t="shared" si="8"/>
        <v>1</v>
      </c>
      <c r="AJ26" s="21">
        <f t="shared" si="9"/>
        <v>2</v>
      </c>
      <c r="AK26" s="21">
        <f t="shared" si="10"/>
        <v>100</v>
      </c>
      <c r="AL26" s="21">
        <f t="shared" si="13"/>
        <v>1</v>
      </c>
      <c r="AM26" s="21">
        <f t="shared" si="11"/>
        <v>2</v>
      </c>
      <c r="AN26" s="21">
        <f t="shared" si="12"/>
        <v>100</v>
      </c>
    </row>
    <row r="27" spans="1:40" x14ac:dyDescent="0.2">
      <c r="A27">
        <v>25</v>
      </c>
      <c r="B27" t="s">
        <v>51</v>
      </c>
      <c r="C27" s="17" t="s">
        <v>151</v>
      </c>
      <c r="D27" s="6" t="s">
        <v>151</v>
      </c>
      <c r="E27" s="6">
        <v>1</v>
      </c>
      <c r="F27" t="s">
        <v>138</v>
      </c>
      <c r="G27" t="s">
        <v>138</v>
      </c>
      <c r="H27">
        <v>1</v>
      </c>
      <c r="I27" s="18" t="s">
        <v>138</v>
      </c>
      <c r="J27" s="7" t="s">
        <v>138</v>
      </c>
      <c r="K27" s="7">
        <v>1</v>
      </c>
      <c r="L27" t="s">
        <v>151</v>
      </c>
      <c r="M27" t="s">
        <v>151</v>
      </c>
      <c r="N27">
        <v>1</v>
      </c>
      <c r="O27" s="10" t="s">
        <v>138</v>
      </c>
      <c r="P27" s="10" t="s">
        <v>138</v>
      </c>
      <c r="Q27" s="10">
        <v>1</v>
      </c>
      <c r="R27" t="s">
        <v>151</v>
      </c>
      <c r="S27" t="s">
        <v>151</v>
      </c>
      <c r="T27">
        <v>1</v>
      </c>
      <c r="U27" s="10" t="s">
        <v>138</v>
      </c>
      <c r="V27" s="10" t="s">
        <v>138</v>
      </c>
      <c r="W27" s="10">
        <v>1</v>
      </c>
      <c r="X27" t="s">
        <v>151</v>
      </c>
      <c r="Y27" t="s">
        <v>151</v>
      </c>
      <c r="Z27">
        <v>1</v>
      </c>
      <c r="AA27" s="21">
        <f t="shared" si="0"/>
        <v>8</v>
      </c>
      <c r="AB27" s="21">
        <f t="shared" si="1"/>
        <v>100</v>
      </c>
      <c r="AC27" s="21">
        <f t="shared" si="2"/>
        <v>1</v>
      </c>
      <c r="AD27" s="21">
        <f t="shared" si="3"/>
        <v>1</v>
      </c>
      <c r="AE27" s="21">
        <f t="shared" si="4"/>
        <v>4</v>
      </c>
      <c r="AF27" s="21">
        <f t="shared" si="5"/>
        <v>100</v>
      </c>
      <c r="AG27" s="21">
        <f t="shared" si="6"/>
        <v>1</v>
      </c>
      <c r="AH27" s="21">
        <f t="shared" si="7"/>
        <v>2</v>
      </c>
      <c r="AI27" s="21">
        <f t="shared" si="8"/>
        <v>2</v>
      </c>
      <c r="AJ27" s="21">
        <f t="shared" si="9"/>
        <v>2</v>
      </c>
      <c r="AK27" s="21">
        <f t="shared" si="10"/>
        <v>100</v>
      </c>
      <c r="AL27" s="21">
        <f t="shared" si="13"/>
        <v>1</v>
      </c>
      <c r="AM27" s="21">
        <f t="shared" si="11"/>
        <v>2</v>
      </c>
      <c r="AN27" s="21">
        <f t="shared" si="12"/>
        <v>100</v>
      </c>
    </row>
    <row r="28" spans="1:40" x14ac:dyDescent="0.2">
      <c r="A28">
        <v>26</v>
      </c>
      <c r="B28" t="s">
        <v>53</v>
      </c>
      <c r="C28" s="17" t="s">
        <v>151</v>
      </c>
      <c r="D28" s="6" t="s">
        <v>151</v>
      </c>
      <c r="E28" s="6">
        <v>1</v>
      </c>
      <c r="F28" t="s">
        <v>138</v>
      </c>
      <c r="G28" t="s">
        <v>151</v>
      </c>
      <c r="H28">
        <v>0</v>
      </c>
      <c r="I28" s="18" t="s">
        <v>138</v>
      </c>
      <c r="J28" s="7" t="s">
        <v>151</v>
      </c>
      <c r="K28" s="7">
        <v>0</v>
      </c>
      <c r="L28" t="s">
        <v>151</v>
      </c>
      <c r="M28" t="s">
        <v>138</v>
      </c>
      <c r="N28">
        <v>0</v>
      </c>
      <c r="O28" s="10" t="s">
        <v>138</v>
      </c>
      <c r="P28" s="10" t="s">
        <v>138</v>
      </c>
      <c r="Q28" s="10">
        <v>1</v>
      </c>
      <c r="R28" t="s">
        <v>151</v>
      </c>
      <c r="S28" t="s">
        <v>151</v>
      </c>
      <c r="T28">
        <v>1</v>
      </c>
      <c r="U28" s="10" t="s">
        <v>138</v>
      </c>
      <c r="V28" s="10" t="s">
        <v>138</v>
      </c>
      <c r="W28" s="10">
        <v>1</v>
      </c>
      <c r="X28" t="s">
        <v>151</v>
      </c>
      <c r="Y28" t="s">
        <v>138</v>
      </c>
      <c r="Z28">
        <v>0</v>
      </c>
      <c r="AA28" s="21">
        <f t="shared" si="0"/>
        <v>4</v>
      </c>
      <c r="AB28" s="21">
        <f t="shared" si="1"/>
        <v>50</v>
      </c>
      <c r="AC28" s="21">
        <f t="shared" si="2"/>
        <v>0</v>
      </c>
      <c r="AD28" s="21">
        <f t="shared" si="3"/>
        <v>0</v>
      </c>
      <c r="AE28" s="21">
        <f t="shared" si="4"/>
        <v>1</v>
      </c>
      <c r="AF28" s="21">
        <f t="shared" si="5"/>
        <v>25</v>
      </c>
      <c r="AG28" s="21">
        <f t="shared" si="6"/>
        <v>0</v>
      </c>
      <c r="AH28" s="21">
        <f t="shared" si="7"/>
        <v>1</v>
      </c>
      <c r="AI28" s="23">
        <f t="shared" si="8"/>
        <v>0</v>
      </c>
      <c r="AJ28" s="23">
        <f t="shared" si="9"/>
        <v>1</v>
      </c>
      <c r="AK28" s="21">
        <f t="shared" si="10"/>
        <v>50</v>
      </c>
      <c r="AL28" s="21">
        <f t="shared" si="13"/>
        <v>0</v>
      </c>
      <c r="AM28" s="21">
        <f t="shared" si="11"/>
        <v>2</v>
      </c>
      <c r="AN28" s="21">
        <f t="shared" si="12"/>
        <v>100</v>
      </c>
    </row>
    <row r="29" spans="1:40" x14ac:dyDescent="0.2">
      <c r="A29">
        <v>27</v>
      </c>
      <c r="B29" t="s">
        <v>55</v>
      </c>
      <c r="C29" s="17" t="s">
        <v>151</v>
      </c>
      <c r="D29" s="6" t="s">
        <v>151</v>
      </c>
      <c r="E29" s="6">
        <v>1</v>
      </c>
      <c r="F29" t="s">
        <v>138</v>
      </c>
      <c r="G29" t="s">
        <v>138</v>
      </c>
      <c r="H29">
        <v>1</v>
      </c>
      <c r="I29" s="18" t="s">
        <v>138</v>
      </c>
      <c r="J29" s="7" t="s">
        <v>138</v>
      </c>
      <c r="K29" s="7">
        <v>1</v>
      </c>
      <c r="L29" t="s">
        <v>151</v>
      </c>
      <c r="M29" t="s">
        <v>151</v>
      </c>
      <c r="N29">
        <v>1</v>
      </c>
      <c r="O29" s="10" t="s">
        <v>138</v>
      </c>
      <c r="P29" s="10" t="s">
        <v>138</v>
      </c>
      <c r="Q29" s="10">
        <v>1</v>
      </c>
      <c r="R29" t="s">
        <v>151</v>
      </c>
      <c r="S29" t="s">
        <v>151</v>
      </c>
      <c r="T29">
        <v>1</v>
      </c>
      <c r="U29" s="10" t="s">
        <v>138</v>
      </c>
      <c r="V29" s="10" t="s">
        <v>138</v>
      </c>
      <c r="W29" s="10">
        <v>1</v>
      </c>
      <c r="X29" t="s">
        <v>151</v>
      </c>
      <c r="Y29" t="s">
        <v>151</v>
      </c>
      <c r="Z29">
        <v>1</v>
      </c>
      <c r="AA29" s="21">
        <f t="shared" si="0"/>
        <v>8</v>
      </c>
      <c r="AB29" s="21">
        <f t="shared" si="1"/>
        <v>100</v>
      </c>
      <c r="AC29" s="21">
        <f t="shared" si="2"/>
        <v>1</v>
      </c>
      <c r="AD29" s="21">
        <f t="shared" si="3"/>
        <v>1</v>
      </c>
      <c r="AE29" s="21">
        <f t="shared" si="4"/>
        <v>4</v>
      </c>
      <c r="AF29" s="21">
        <f t="shared" si="5"/>
        <v>100</v>
      </c>
      <c r="AG29" s="21">
        <f t="shared" si="6"/>
        <v>1</v>
      </c>
      <c r="AH29" s="21">
        <f t="shared" si="7"/>
        <v>2</v>
      </c>
      <c r="AI29" s="21">
        <f t="shared" si="8"/>
        <v>2</v>
      </c>
      <c r="AJ29" s="21">
        <f t="shared" si="9"/>
        <v>2</v>
      </c>
      <c r="AK29" s="21">
        <f t="shared" si="10"/>
        <v>100</v>
      </c>
      <c r="AL29" s="21">
        <f t="shared" si="13"/>
        <v>1</v>
      </c>
      <c r="AM29" s="21">
        <f t="shared" si="11"/>
        <v>2</v>
      </c>
      <c r="AN29" s="21">
        <f t="shared" si="12"/>
        <v>100</v>
      </c>
    </row>
    <row r="30" spans="1:40" x14ac:dyDescent="0.2">
      <c r="A30">
        <v>28</v>
      </c>
      <c r="B30" t="s">
        <v>57</v>
      </c>
      <c r="C30" s="17" t="s">
        <v>151</v>
      </c>
      <c r="D30" s="6" t="s">
        <v>151</v>
      </c>
      <c r="E30" s="6">
        <v>1</v>
      </c>
      <c r="F30" t="s">
        <v>138</v>
      </c>
      <c r="G30" t="s">
        <v>138</v>
      </c>
      <c r="H30">
        <v>1</v>
      </c>
      <c r="I30" s="18" t="s">
        <v>138</v>
      </c>
      <c r="J30" s="7" t="s">
        <v>151</v>
      </c>
      <c r="K30" s="7">
        <v>0</v>
      </c>
      <c r="L30" t="s">
        <v>151</v>
      </c>
      <c r="M30" t="s">
        <v>138</v>
      </c>
      <c r="N30">
        <v>0</v>
      </c>
      <c r="O30" s="10" t="s">
        <v>138</v>
      </c>
      <c r="P30" s="10" t="s">
        <v>138</v>
      </c>
      <c r="Q30" s="10">
        <v>1</v>
      </c>
      <c r="R30" t="s">
        <v>151</v>
      </c>
      <c r="S30" t="s">
        <v>151</v>
      </c>
      <c r="T30">
        <v>1</v>
      </c>
      <c r="U30" s="10" t="s">
        <v>138</v>
      </c>
      <c r="V30" s="10" t="s">
        <v>138</v>
      </c>
      <c r="W30" s="10">
        <v>1</v>
      </c>
      <c r="X30" t="s">
        <v>151</v>
      </c>
      <c r="Y30" t="s">
        <v>151</v>
      </c>
      <c r="Z30">
        <v>1</v>
      </c>
      <c r="AA30" s="21">
        <f t="shared" si="0"/>
        <v>6</v>
      </c>
      <c r="AB30" s="21">
        <f t="shared" si="1"/>
        <v>75</v>
      </c>
      <c r="AC30" s="21">
        <f t="shared" si="2"/>
        <v>0</v>
      </c>
      <c r="AD30" s="21">
        <f t="shared" si="3"/>
        <v>0</v>
      </c>
      <c r="AE30" s="21">
        <f t="shared" si="4"/>
        <v>3</v>
      </c>
      <c r="AF30" s="21">
        <f t="shared" si="5"/>
        <v>75</v>
      </c>
      <c r="AG30" s="21">
        <f t="shared" si="6"/>
        <v>0</v>
      </c>
      <c r="AH30" s="21">
        <f t="shared" si="7"/>
        <v>2</v>
      </c>
      <c r="AI30" s="21">
        <f t="shared" si="8"/>
        <v>1</v>
      </c>
      <c r="AJ30" s="21">
        <f t="shared" si="9"/>
        <v>1</v>
      </c>
      <c r="AK30" s="21">
        <f t="shared" si="10"/>
        <v>50</v>
      </c>
      <c r="AL30" s="21">
        <f t="shared" si="13"/>
        <v>0</v>
      </c>
      <c r="AM30" s="21">
        <f t="shared" si="11"/>
        <v>2</v>
      </c>
      <c r="AN30" s="21">
        <f t="shared" si="12"/>
        <v>100</v>
      </c>
    </row>
    <row r="31" spans="1:40" x14ac:dyDescent="0.2">
      <c r="A31">
        <v>29</v>
      </c>
      <c r="B31" t="s">
        <v>59</v>
      </c>
      <c r="C31" s="17" t="s">
        <v>151</v>
      </c>
      <c r="D31" s="6" t="s">
        <v>151</v>
      </c>
      <c r="E31" s="6">
        <v>1</v>
      </c>
      <c r="F31" t="s">
        <v>138</v>
      </c>
      <c r="G31" t="s">
        <v>151</v>
      </c>
      <c r="H31">
        <v>0</v>
      </c>
      <c r="I31" s="18" t="s">
        <v>138</v>
      </c>
      <c r="J31" s="7" t="s">
        <v>138</v>
      </c>
      <c r="K31" s="7">
        <v>1</v>
      </c>
      <c r="L31" t="s">
        <v>151</v>
      </c>
      <c r="M31" t="s">
        <v>138</v>
      </c>
      <c r="N31">
        <v>0</v>
      </c>
      <c r="O31" s="10" t="s">
        <v>138</v>
      </c>
      <c r="P31" s="10" t="s">
        <v>151</v>
      </c>
      <c r="Q31" s="10">
        <v>0</v>
      </c>
      <c r="R31" t="s">
        <v>151</v>
      </c>
      <c r="S31" t="s">
        <v>151</v>
      </c>
      <c r="T31">
        <v>1</v>
      </c>
      <c r="U31" s="10" t="s">
        <v>138</v>
      </c>
      <c r="V31" s="10" t="s">
        <v>151</v>
      </c>
      <c r="W31" s="10">
        <v>0</v>
      </c>
      <c r="X31" t="s">
        <v>151</v>
      </c>
      <c r="Y31" t="s">
        <v>151</v>
      </c>
      <c r="Z31">
        <v>1</v>
      </c>
      <c r="AA31" s="21">
        <f t="shared" si="0"/>
        <v>4</v>
      </c>
      <c r="AB31" s="21">
        <f t="shared" si="1"/>
        <v>50</v>
      </c>
      <c r="AC31" s="21">
        <f t="shared" si="2"/>
        <v>0</v>
      </c>
      <c r="AD31" s="21">
        <f t="shared" si="3"/>
        <v>0</v>
      </c>
      <c r="AE31" s="21">
        <f t="shared" si="4"/>
        <v>2</v>
      </c>
      <c r="AF31" s="21">
        <f t="shared" si="5"/>
        <v>50</v>
      </c>
      <c r="AG31" s="21">
        <f t="shared" si="6"/>
        <v>0</v>
      </c>
      <c r="AH31" s="21">
        <f t="shared" si="7"/>
        <v>1</v>
      </c>
      <c r="AI31" s="21">
        <f t="shared" si="8"/>
        <v>1</v>
      </c>
      <c r="AJ31" s="21">
        <f t="shared" si="9"/>
        <v>0</v>
      </c>
      <c r="AK31" s="21">
        <f t="shared" si="10"/>
        <v>0</v>
      </c>
      <c r="AL31" s="21">
        <f t="shared" si="13"/>
        <v>0</v>
      </c>
      <c r="AM31" s="21">
        <f t="shared" si="11"/>
        <v>2</v>
      </c>
      <c r="AN31" s="21">
        <f t="shared" si="12"/>
        <v>100</v>
      </c>
    </row>
    <row r="32" spans="1:40" x14ac:dyDescent="0.2">
      <c r="A32">
        <v>30</v>
      </c>
      <c r="B32" t="s">
        <v>61</v>
      </c>
      <c r="C32" s="17" t="s">
        <v>151</v>
      </c>
      <c r="D32" s="6" t="s">
        <v>151</v>
      </c>
      <c r="E32" s="6">
        <v>1</v>
      </c>
      <c r="F32" t="s">
        <v>138</v>
      </c>
      <c r="G32" t="s">
        <v>151</v>
      </c>
      <c r="H32">
        <v>0</v>
      </c>
      <c r="I32" s="18" t="s">
        <v>138</v>
      </c>
      <c r="J32" s="7" t="s">
        <v>151</v>
      </c>
      <c r="K32" s="7">
        <v>0</v>
      </c>
      <c r="L32" t="s">
        <v>151</v>
      </c>
      <c r="M32" t="s">
        <v>151</v>
      </c>
      <c r="N32">
        <v>1</v>
      </c>
      <c r="O32" s="10" t="s">
        <v>138</v>
      </c>
      <c r="P32" s="10" t="s">
        <v>138</v>
      </c>
      <c r="Q32" s="10">
        <v>1</v>
      </c>
      <c r="R32" t="s">
        <v>151</v>
      </c>
      <c r="S32" t="s">
        <v>151</v>
      </c>
      <c r="T32">
        <v>1</v>
      </c>
      <c r="U32" s="10" t="s">
        <v>138</v>
      </c>
      <c r="V32" s="10" t="s">
        <v>138</v>
      </c>
      <c r="W32" s="10">
        <v>1</v>
      </c>
      <c r="X32" t="s">
        <v>151</v>
      </c>
      <c r="Y32" t="s">
        <v>151</v>
      </c>
      <c r="Z32">
        <v>1</v>
      </c>
      <c r="AA32" s="21">
        <f t="shared" si="0"/>
        <v>6</v>
      </c>
      <c r="AB32" s="21">
        <f t="shared" si="1"/>
        <v>75</v>
      </c>
      <c r="AC32" s="21">
        <f t="shared" si="2"/>
        <v>0</v>
      </c>
      <c r="AD32" s="21">
        <f t="shared" si="3"/>
        <v>0</v>
      </c>
      <c r="AE32" s="21">
        <f t="shared" si="4"/>
        <v>2</v>
      </c>
      <c r="AF32" s="21">
        <f t="shared" si="5"/>
        <v>50</v>
      </c>
      <c r="AG32" s="21">
        <f t="shared" si="6"/>
        <v>0</v>
      </c>
      <c r="AH32" s="21">
        <f t="shared" si="7"/>
        <v>2</v>
      </c>
      <c r="AI32" s="23">
        <f t="shared" si="8"/>
        <v>0</v>
      </c>
      <c r="AJ32" s="23">
        <f t="shared" si="9"/>
        <v>2</v>
      </c>
      <c r="AK32" s="21">
        <f t="shared" si="10"/>
        <v>100</v>
      </c>
      <c r="AL32" s="21">
        <f t="shared" si="13"/>
        <v>1</v>
      </c>
      <c r="AM32" s="21">
        <f t="shared" si="11"/>
        <v>2</v>
      </c>
      <c r="AN32" s="21">
        <f t="shared" si="12"/>
        <v>100</v>
      </c>
    </row>
    <row r="33" spans="1:40" x14ac:dyDescent="0.2">
      <c r="A33">
        <v>31</v>
      </c>
      <c r="B33" t="s">
        <v>63</v>
      </c>
      <c r="C33" s="17" t="s">
        <v>151</v>
      </c>
      <c r="D33" s="6" t="s">
        <v>151</v>
      </c>
      <c r="E33" s="6">
        <v>1</v>
      </c>
      <c r="F33" t="s">
        <v>138</v>
      </c>
      <c r="G33" t="s">
        <v>151</v>
      </c>
      <c r="H33">
        <v>0</v>
      </c>
      <c r="I33" s="18" t="s">
        <v>138</v>
      </c>
      <c r="J33" s="7" t="s">
        <v>138</v>
      </c>
      <c r="K33" s="7">
        <v>1</v>
      </c>
      <c r="L33" t="s">
        <v>151</v>
      </c>
      <c r="M33" t="s">
        <v>138</v>
      </c>
      <c r="N33">
        <v>0</v>
      </c>
      <c r="O33" s="10" t="s">
        <v>138</v>
      </c>
      <c r="P33" s="10" t="s">
        <v>138</v>
      </c>
      <c r="Q33" s="10">
        <v>1</v>
      </c>
      <c r="R33" t="s">
        <v>151</v>
      </c>
      <c r="S33" t="s">
        <v>151</v>
      </c>
      <c r="T33">
        <v>1</v>
      </c>
      <c r="U33" s="10" t="s">
        <v>138</v>
      </c>
      <c r="V33" s="10" t="s">
        <v>151</v>
      </c>
      <c r="W33" s="10">
        <v>0</v>
      </c>
      <c r="X33" t="s">
        <v>151</v>
      </c>
      <c r="Y33" t="s">
        <v>151</v>
      </c>
      <c r="Z33">
        <v>1</v>
      </c>
      <c r="AA33" s="21">
        <f t="shared" si="0"/>
        <v>5</v>
      </c>
      <c r="AB33" s="21">
        <f t="shared" si="1"/>
        <v>62.5</v>
      </c>
      <c r="AC33" s="21">
        <f t="shared" si="2"/>
        <v>0</v>
      </c>
      <c r="AD33" s="21">
        <f t="shared" si="3"/>
        <v>0</v>
      </c>
      <c r="AE33" s="21">
        <f t="shared" si="4"/>
        <v>3</v>
      </c>
      <c r="AF33" s="21">
        <f t="shared" si="5"/>
        <v>75</v>
      </c>
      <c r="AG33" s="21">
        <f t="shared" si="6"/>
        <v>0</v>
      </c>
      <c r="AH33" s="21">
        <f t="shared" si="7"/>
        <v>2</v>
      </c>
      <c r="AI33" s="21">
        <f t="shared" si="8"/>
        <v>1</v>
      </c>
      <c r="AJ33" s="21">
        <f t="shared" si="9"/>
        <v>0</v>
      </c>
      <c r="AK33" s="21">
        <f t="shared" si="10"/>
        <v>0</v>
      </c>
      <c r="AL33" s="21">
        <f t="shared" si="13"/>
        <v>0</v>
      </c>
      <c r="AM33" s="21">
        <f t="shared" si="11"/>
        <v>2</v>
      </c>
      <c r="AN33" s="21">
        <f t="shared" si="12"/>
        <v>100</v>
      </c>
    </row>
    <row r="34" spans="1:40" x14ac:dyDescent="0.2">
      <c r="A34">
        <v>32</v>
      </c>
      <c r="B34" t="s">
        <v>65</v>
      </c>
      <c r="C34" s="17" t="s">
        <v>151</v>
      </c>
      <c r="D34" s="6" t="s">
        <v>151</v>
      </c>
      <c r="E34" s="6">
        <v>1</v>
      </c>
      <c r="F34" t="s">
        <v>138</v>
      </c>
      <c r="G34" t="s">
        <v>151</v>
      </c>
      <c r="H34">
        <v>0</v>
      </c>
      <c r="I34" s="18" t="s">
        <v>138</v>
      </c>
      <c r="J34" s="7" t="s">
        <v>138</v>
      </c>
      <c r="K34" s="7">
        <v>1</v>
      </c>
      <c r="L34" t="s">
        <v>151</v>
      </c>
      <c r="M34" t="s">
        <v>138</v>
      </c>
      <c r="N34">
        <v>0</v>
      </c>
      <c r="O34" s="10" t="s">
        <v>138</v>
      </c>
      <c r="P34" s="10" t="s">
        <v>138</v>
      </c>
      <c r="Q34" s="10">
        <v>1</v>
      </c>
      <c r="R34" t="s">
        <v>151</v>
      </c>
      <c r="S34" t="s">
        <v>151</v>
      </c>
      <c r="T34">
        <v>1</v>
      </c>
      <c r="U34" s="10" t="s">
        <v>138</v>
      </c>
      <c r="V34" s="10" t="s">
        <v>151</v>
      </c>
      <c r="W34" s="10">
        <v>0</v>
      </c>
      <c r="X34" t="s">
        <v>151</v>
      </c>
      <c r="Y34" t="s">
        <v>151</v>
      </c>
      <c r="Z34">
        <v>1</v>
      </c>
      <c r="AA34" s="21">
        <f t="shared" si="0"/>
        <v>5</v>
      </c>
      <c r="AB34" s="21">
        <f t="shared" si="1"/>
        <v>62.5</v>
      </c>
      <c r="AC34" s="21">
        <f t="shared" si="2"/>
        <v>0</v>
      </c>
      <c r="AD34" s="21">
        <f t="shared" si="3"/>
        <v>0</v>
      </c>
      <c r="AE34" s="21">
        <f t="shared" si="4"/>
        <v>3</v>
      </c>
      <c r="AF34" s="21">
        <f t="shared" si="5"/>
        <v>75</v>
      </c>
      <c r="AG34" s="21">
        <f t="shared" si="6"/>
        <v>0</v>
      </c>
      <c r="AH34" s="21">
        <f t="shared" si="7"/>
        <v>2</v>
      </c>
      <c r="AI34" s="21">
        <f t="shared" si="8"/>
        <v>1</v>
      </c>
      <c r="AJ34" s="21">
        <f t="shared" si="9"/>
        <v>0</v>
      </c>
      <c r="AK34" s="21">
        <f t="shared" si="10"/>
        <v>0</v>
      </c>
      <c r="AL34" s="21">
        <f t="shared" si="13"/>
        <v>0</v>
      </c>
      <c r="AM34" s="21">
        <f t="shared" si="11"/>
        <v>2</v>
      </c>
      <c r="AN34" s="21">
        <f t="shared" si="12"/>
        <v>100</v>
      </c>
    </row>
    <row r="35" spans="1:40" x14ac:dyDescent="0.2">
      <c r="A35">
        <v>33</v>
      </c>
      <c r="B35" t="s">
        <v>67</v>
      </c>
      <c r="C35" s="17" t="s">
        <v>151</v>
      </c>
      <c r="D35" s="6" t="s">
        <v>151</v>
      </c>
      <c r="E35" s="6">
        <v>1</v>
      </c>
      <c r="F35" t="s">
        <v>138</v>
      </c>
      <c r="G35" t="s">
        <v>138</v>
      </c>
      <c r="H35">
        <v>1</v>
      </c>
      <c r="I35" s="18" t="s">
        <v>138</v>
      </c>
      <c r="J35" s="7" t="s">
        <v>138</v>
      </c>
      <c r="K35" s="7">
        <v>1</v>
      </c>
      <c r="L35" t="s">
        <v>151</v>
      </c>
      <c r="M35" t="s">
        <v>151</v>
      </c>
      <c r="N35">
        <v>1</v>
      </c>
      <c r="O35" s="10" t="s">
        <v>138</v>
      </c>
      <c r="P35" s="10" t="s">
        <v>138</v>
      </c>
      <c r="Q35" s="10">
        <v>1</v>
      </c>
      <c r="R35" t="s">
        <v>151</v>
      </c>
      <c r="S35" t="s">
        <v>151</v>
      </c>
      <c r="T35">
        <v>1</v>
      </c>
      <c r="U35" s="10" t="s">
        <v>138</v>
      </c>
      <c r="V35" s="10" t="s">
        <v>138</v>
      </c>
      <c r="W35" s="10">
        <v>1</v>
      </c>
      <c r="X35" t="s">
        <v>151</v>
      </c>
      <c r="Y35" t="s">
        <v>151</v>
      </c>
      <c r="Z35">
        <v>1</v>
      </c>
      <c r="AA35" s="21">
        <f t="shared" si="0"/>
        <v>8</v>
      </c>
      <c r="AB35" s="21">
        <f t="shared" si="1"/>
        <v>100</v>
      </c>
      <c r="AC35" s="21">
        <f t="shared" si="2"/>
        <v>1</v>
      </c>
      <c r="AD35" s="21">
        <f t="shared" si="3"/>
        <v>1</v>
      </c>
      <c r="AE35" s="21">
        <f t="shared" si="4"/>
        <v>4</v>
      </c>
      <c r="AF35" s="21">
        <f t="shared" si="5"/>
        <v>100</v>
      </c>
      <c r="AG35" s="21">
        <f t="shared" si="6"/>
        <v>1</v>
      </c>
      <c r="AH35" s="21">
        <f t="shared" si="7"/>
        <v>2</v>
      </c>
      <c r="AI35" s="21">
        <f t="shared" si="8"/>
        <v>2</v>
      </c>
      <c r="AJ35" s="21">
        <f t="shared" si="9"/>
        <v>2</v>
      </c>
      <c r="AK35" s="21">
        <f t="shared" si="10"/>
        <v>100</v>
      </c>
      <c r="AL35" s="21">
        <f t="shared" si="13"/>
        <v>1</v>
      </c>
      <c r="AM35" s="21">
        <f t="shared" si="11"/>
        <v>2</v>
      </c>
      <c r="AN35" s="21">
        <f t="shared" si="12"/>
        <v>100</v>
      </c>
    </row>
    <row r="36" spans="1:40" x14ac:dyDescent="0.2">
      <c r="A36">
        <v>34</v>
      </c>
      <c r="B36" t="s">
        <v>69</v>
      </c>
      <c r="C36" s="17" t="s">
        <v>151</v>
      </c>
      <c r="D36" s="6" t="s">
        <v>151</v>
      </c>
      <c r="E36" s="6">
        <v>1</v>
      </c>
      <c r="F36" t="s">
        <v>138</v>
      </c>
      <c r="G36" t="s">
        <v>138</v>
      </c>
      <c r="H36">
        <v>1</v>
      </c>
      <c r="I36" s="18" t="s">
        <v>138</v>
      </c>
      <c r="J36" s="7" t="s">
        <v>138</v>
      </c>
      <c r="K36" s="7">
        <v>1</v>
      </c>
      <c r="L36" t="s">
        <v>151</v>
      </c>
      <c r="M36" t="s">
        <v>151</v>
      </c>
      <c r="N36">
        <v>1</v>
      </c>
      <c r="O36" s="10" t="s">
        <v>138</v>
      </c>
      <c r="P36" s="10" t="s">
        <v>138</v>
      </c>
      <c r="Q36" s="10">
        <v>1</v>
      </c>
      <c r="R36" t="s">
        <v>151</v>
      </c>
      <c r="S36" t="s">
        <v>151</v>
      </c>
      <c r="T36">
        <v>1</v>
      </c>
      <c r="U36" s="10" t="s">
        <v>138</v>
      </c>
      <c r="V36" s="10" t="s">
        <v>138</v>
      </c>
      <c r="W36" s="10">
        <v>1</v>
      </c>
      <c r="X36" t="s">
        <v>151</v>
      </c>
      <c r="Y36" t="s">
        <v>151</v>
      </c>
      <c r="Z36">
        <v>1</v>
      </c>
      <c r="AA36" s="21">
        <f t="shared" si="0"/>
        <v>8</v>
      </c>
      <c r="AB36" s="21">
        <f t="shared" si="1"/>
        <v>100</v>
      </c>
      <c r="AC36" s="21">
        <f t="shared" si="2"/>
        <v>1</v>
      </c>
      <c r="AD36" s="21">
        <f t="shared" si="3"/>
        <v>1</v>
      </c>
      <c r="AE36" s="21">
        <f t="shared" si="4"/>
        <v>4</v>
      </c>
      <c r="AF36" s="21">
        <f t="shared" si="5"/>
        <v>100</v>
      </c>
      <c r="AG36" s="21">
        <f t="shared" si="6"/>
        <v>1</v>
      </c>
      <c r="AH36" s="21">
        <f t="shared" si="7"/>
        <v>2</v>
      </c>
      <c r="AI36" s="21">
        <f t="shared" si="8"/>
        <v>2</v>
      </c>
      <c r="AJ36" s="21">
        <f t="shared" si="9"/>
        <v>2</v>
      </c>
      <c r="AK36" s="21">
        <f t="shared" si="10"/>
        <v>100</v>
      </c>
      <c r="AL36" s="21">
        <f t="shared" si="13"/>
        <v>1</v>
      </c>
      <c r="AM36" s="21">
        <f t="shared" si="11"/>
        <v>2</v>
      </c>
      <c r="AN36" s="21">
        <f t="shared" si="12"/>
        <v>100</v>
      </c>
    </row>
    <row r="37" spans="1:40" x14ac:dyDescent="0.2">
      <c r="A37">
        <v>35</v>
      </c>
      <c r="B37" t="s">
        <v>71</v>
      </c>
      <c r="C37" s="17" t="s">
        <v>151</v>
      </c>
      <c r="D37" s="6" t="s">
        <v>151</v>
      </c>
      <c r="E37" s="6">
        <v>1</v>
      </c>
      <c r="F37" t="s">
        <v>138</v>
      </c>
      <c r="G37" t="s">
        <v>138</v>
      </c>
      <c r="H37">
        <v>1</v>
      </c>
      <c r="I37" s="18" t="s">
        <v>138</v>
      </c>
      <c r="J37" s="7" t="s">
        <v>138</v>
      </c>
      <c r="K37" s="7">
        <v>1</v>
      </c>
      <c r="L37" t="s">
        <v>151</v>
      </c>
      <c r="M37" t="s">
        <v>151</v>
      </c>
      <c r="N37">
        <v>1</v>
      </c>
      <c r="O37" s="10" t="s">
        <v>138</v>
      </c>
      <c r="P37" s="10" t="s">
        <v>138</v>
      </c>
      <c r="Q37" s="10">
        <v>1</v>
      </c>
      <c r="R37" t="s">
        <v>151</v>
      </c>
      <c r="S37" t="s">
        <v>151</v>
      </c>
      <c r="T37">
        <v>1</v>
      </c>
      <c r="U37" s="10" t="s">
        <v>138</v>
      </c>
      <c r="V37" s="10" t="s">
        <v>138</v>
      </c>
      <c r="W37" s="10">
        <v>1</v>
      </c>
      <c r="X37" t="s">
        <v>151</v>
      </c>
      <c r="Y37" t="s">
        <v>151</v>
      </c>
      <c r="Z37">
        <v>1</v>
      </c>
      <c r="AA37" s="21">
        <f t="shared" si="0"/>
        <v>8</v>
      </c>
      <c r="AB37" s="21">
        <f t="shared" si="1"/>
        <v>100</v>
      </c>
      <c r="AC37" s="21">
        <f t="shared" si="2"/>
        <v>1</v>
      </c>
      <c r="AD37" s="21">
        <f t="shared" si="3"/>
        <v>1</v>
      </c>
      <c r="AE37" s="21">
        <f t="shared" si="4"/>
        <v>4</v>
      </c>
      <c r="AF37" s="21">
        <f t="shared" si="5"/>
        <v>100</v>
      </c>
      <c r="AG37" s="21">
        <f t="shared" si="6"/>
        <v>1</v>
      </c>
      <c r="AH37" s="21">
        <f t="shared" si="7"/>
        <v>2</v>
      </c>
      <c r="AI37" s="21">
        <f t="shared" si="8"/>
        <v>2</v>
      </c>
      <c r="AJ37" s="21">
        <f t="shared" si="9"/>
        <v>2</v>
      </c>
      <c r="AK37" s="21">
        <f t="shared" si="10"/>
        <v>100</v>
      </c>
      <c r="AL37" s="21">
        <f t="shared" si="13"/>
        <v>1</v>
      </c>
      <c r="AM37" s="21">
        <f t="shared" si="11"/>
        <v>2</v>
      </c>
      <c r="AN37" s="21">
        <f t="shared" si="12"/>
        <v>100</v>
      </c>
    </row>
    <row r="38" spans="1:40" x14ac:dyDescent="0.2">
      <c r="A38">
        <v>36</v>
      </c>
      <c r="B38" t="s">
        <v>73</v>
      </c>
      <c r="C38" s="17" t="s">
        <v>151</v>
      </c>
      <c r="D38" s="6" t="s">
        <v>138</v>
      </c>
      <c r="E38" s="6">
        <v>0</v>
      </c>
      <c r="F38" t="s">
        <v>138</v>
      </c>
      <c r="G38" t="s">
        <v>151</v>
      </c>
      <c r="H38">
        <v>0</v>
      </c>
      <c r="I38" s="18" t="s">
        <v>138</v>
      </c>
      <c r="J38" s="7" t="s">
        <v>151</v>
      </c>
      <c r="K38" s="7">
        <v>0</v>
      </c>
      <c r="L38" t="s">
        <v>151</v>
      </c>
      <c r="M38" t="s">
        <v>138</v>
      </c>
      <c r="N38">
        <v>0</v>
      </c>
      <c r="O38" s="10" t="s">
        <v>138</v>
      </c>
      <c r="P38" s="10" t="s">
        <v>151</v>
      </c>
      <c r="Q38" s="10">
        <v>0</v>
      </c>
      <c r="R38" t="s">
        <v>151</v>
      </c>
      <c r="S38" t="s">
        <v>138</v>
      </c>
      <c r="T38">
        <v>0</v>
      </c>
      <c r="U38" s="10" t="s">
        <v>138</v>
      </c>
      <c r="V38" s="10" t="s">
        <v>138</v>
      </c>
      <c r="W38" s="10">
        <v>1</v>
      </c>
      <c r="X38" t="s">
        <v>151</v>
      </c>
      <c r="Y38" t="s">
        <v>151</v>
      </c>
      <c r="Z38">
        <v>1</v>
      </c>
      <c r="AA38" s="21">
        <f t="shared" si="0"/>
        <v>2</v>
      </c>
      <c r="AB38" s="21">
        <f t="shared" si="1"/>
        <v>25</v>
      </c>
      <c r="AC38" s="21">
        <f t="shared" si="2"/>
        <v>0</v>
      </c>
      <c r="AD38" s="21">
        <f t="shared" si="3"/>
        <v>0</v>
      </c>
      <c r="AE38" s="21">
        <f t="shared" si="4"/>
        <v>1</v>
      </c>
      <c r="AF38" s="21">
        <f t="shared" si="5"/>
        <v>25</v>
      </c>
      <c r="AG38" s="21">
        <f t="shared" si="6"/>
        <v>0</v>
      </c>
      <c r="AH38" s="21">
        <f t="shared" si="7"/>
        <v>1</v>
      </c>
      <c r="AI38" s="23">
        <f t="shared" si="8"/>
        <v>0</v>
      </c>
      <c r="AJ38" s="23">
        <f t="shared" si="9"/>
        <v>1</v>
      </c>
      <c r="AK38" s="21">
        <f t="shared" si="10"/>
        <v>50</v>
      </c>
      <c r="AL38" s="21">
        <f t="shared" si="13"/>
        <v>0</v>
      </c>
      <c r="AM38" s="21">
        <f t="shared" si="11"/>
        <v>0</v>
      </c>
      <c r="AN38" s="21">
        <f t="shared" si="12"/>
        <v>0</v>
      </c>
    </row>
    <row r="39" spans="1:40" x14ac:dyDescent="0.2">
      <c r="A39">
        <v>37</v>
      </c>
      <c r="B39" s="3" t="s">
        <v>75</v>
      </c>
      <c r="C39" s="17" t="s">
        <v>151</v>
      </c>
      <c r="D39" s="6" t="s">
        <v>151</v>
      </c>
      <c r="E39" s="6">
        <v>1</v>
      </c>
      <c r="F39" t="s">
        <v>138</v>
      </c>
      <c r="G39" t="s">
        <v>151</v>
      </c>
      <c r="H39">
        <v>0</v>
      </c>
      <c r="I39" s="18" t="s">
        <v>138</v>
      </c>
      <c r="J39" s="7" t="s">
        <v>138</v>
      </c>
      <c r="K39" s="7">
        <v>1</v>
      </c>
      <c r="L39" t="s">
        <v>151</v>
      </c>
      <c r="M39" t="s">
        <v>138</v>
      </c>
      <c r="N39">
        <v>0</v>
      </c>
      <c r="O39" s="10" t="s">
        <v>138</v>
      </c>
      <c r="P39" s="10" t="s">
        <v>138</v>
      </c>
      <c r="Q39" s="10">
        <v>1</v>
      </c>
      <c r="R39" t="s">
        <v>151</v>
      </c>
      <c r="S39" t="s">
        <v>151</v>
      </c>
      <c r="T39">
        <v>1</v>
      </c>
      <c r="U39" s="10" t="s">
        <v>138</v>
      </c>
      <c r="V39" s="10" t="s">
        <v>151</v>
      </c>
      <c r="W39" s="10">
        <v>0</v>
      </c>
      <c r="X39" t="s">
        <v>151</v>
      </c>
      <c r="Y39" t="s">
        <v>151</v>
      </c>
      <c r="Z39">
        <v>1</v>
      </c>
      <c r="AA39" s="21">
        <f t="shared" si="0"/>
        <v>5</v>
      </c>
      <c r="AB39" s="21">
        <f t="shared" si="1"/>
        <v>62.5</v>
      </c>
      <c r="AC39" s="21">
        <f t="shared" si="2"/>
        <v>0</v>
      </c>
      <c r="AD39" s="21">
        <f t="shared" si="3"/>
        <v>0</v>
      </c>
      <c r="AE39" s="21">
        <f t="shared" si="4"/>
        <v>3</v>
      </c>
      <c r="AF39" s="21">
        <f t="shared" si="5"/>
        <v>75</v>
      </c>
      <c r="AG39" s="21">
        <f t="shared" si="6"/>
        <v>0</v>
      </c>
      <c r="AH39" s="21">
        <f t="shared" si="7"/>
        <v>2</v>
      </c>
      <c r="AI39" s="21">
        <f t="shared" si="8"/>
        <v>1</v>
      </c>
      <c r="AJ39" s="21">
        <f t="shared" si="9"/>
        <v>0</v>
      </c>
      <c r="AK39" s="21">
        <f t="shared" si="10"/>
        <v>0</v>
      </c>
      <c r="AL39" s="21">
        <f t="shared" si="13"/>
        <v>0</v>
      </c>
      <c r="AM39" s="21">
        <f t="shared" si="11"/>
        <v>2</v>
      </c>
      <c r="AN39" s="21">
        <f t="shared" si="12"/>
        <v>100</v>
      </c>
    </row>
    <row r="40" spans="1:40" x14ac:dyDescent="0.2">
      <c r="A40">
        <v>38</v>
      </c>
      <c r="B40" s="3" t="s">
        <v>77</v>
      </c>
      <c r="C40" s="17" t="s">
        <v>151</v>
      </c>
      <c r="D40" s="6" t="s">
        <v>151</v>
      </c>
      <c r="E40" s="6">
        <v>1</v>
      </c>
      <c r="F40" t="s">
        <v>138</v>
      </c>
      <c r="G40" t="s">
        <v>138</v>
      </c>
      <c r="H40">
        <v>1</v>
      </c>
      <c r="I40" s="18" t="s">
        <v>138</v>
      </c>
      <c r="J40" s="7" t="s">
        <v>138</v>
      </c>
      <c r="K40" s="7">
        <v>1</v>
      </c>
      <c r="L40" t="s">
        <v>151</v>
      </c>
      <c r="M40" t="s">
        <v>151</v>
      </c>
      <c r="N40">
        <v>1</v>
      </c>
      <c r="O40" s="10" t="s">
        <v>138</v>
      </c>
      <c r="P40" s="10" t="s">
        <v>138</v>
      </c>
      <c r="Q40" s="10">
        <v>1</v>
      </c>
      <c r="R40" t="s">
        <v>151</v>
      </c>
      <c r="S40" t="s">
        <v>151</v>
      </c>
      <c r="T40">
        <v>1</v>
      </c>
      <c r="U40" s="10" t="s">
        <v>138</v>
      </c>
      <c r="V40" s="10" t="s">
        <v>138</v>
      </c>
      <c r="W40" s="10">
        <v>1</v>
      </c>
      <c r="X40" t="s">
        <v>151</v>
      </c>
      <c r="Y40" t="s">
        <v>151</v>
      </c>
      <c r="Z40">
        <v>1</v>
      </c>
      <c r="AA40" s="21">
        <f t="shared" si="0"/>
        <v>8</v>
      </c>
      <c r="AB40" s="21">
        <f t="shared" si="1"/>
        <v>100</v>
      </c>
      <c r="AC40" s="21">
        <f t="shared" si="2"/>
        <v>1</v>
      </c>
      <c r="AD40" s="21">
        <f t="shared" si="3"/>
        <v>1</v>
      </c>
      <c r="AE40" s="21">
        <f t="shared" si="4"/>
        <v>4</v>
      </c>
      <c r="AF40" s="21">
        <f t="shared" si="5"/>
        <v>100</v>
      </c>
      <c r="AG40" s="21">
        <f t="shared" si="6"/>
        <v>1</v>
      </c>
      <c r="AH40" s="21">
        <f t="shared" si="7"/>
        <v>2</v>
      </c>
      <c r="AI40" s="21">
        <f t="shared" si="8"/>
        <v>2</v>
      </c>
      <c r="AJ40" s="21">
        <f t="shared" si="9"/>
        <v>2</v>
      </c>
      <c r="AK40" s="21">
        <f t="shared" si="10"/>
        <v>100</v>
      </c>
      <c r="AL40" s="21">
        <f t="shared" si="13"/>
        <v>1</v>
      </c>
      <c r="AM40" s="21">
        <f t="shared" si="11"/>
        <v>2</v>
      </c>
      <c r="AN40" s="21">
        <f t="shared" si="12"/>
        <v>100</v>
      </c>
    </row>
    <row r="41" spans="1:40" x14ac:dyDescent="0.2">
      <c r="A41">
        <v>39</v>
      </c>
      <c r="B41" t="s">
        <v>79</v>
      </c>
      <c r="C41" s="17" t="s">
        <v>151</v>
      </c>
      <c r="D41" s="6" t="s">
        <v>151</v>
      </c>
      <c r="E41" s="6">
        <v>1</v>
      </c>
      <c r="F41" t="s">
        <v>138</v>
      </c>
      <c r="G41" t="s">
        <v>138</v>
      </c>
      <c r="H41">
        <v>1</v>
      </c>
      <c r="I41" s="18" t="s">
        <v>138</v>
      </c>
      <c r="J41" s="7" t="s">
        <v>138</v>
      </c>
      <c r="K41" s="7">
        <v>1</v>
      </c>
      <c r="L41" t="s">
        <v>151</v>
      </c>
      <c r="M41" t="s">
        <v>151</v>
      </c>
      <c r="N41">
        <v>1</v>
      </c>
      <c r="O41" s="10" t="s">
        <v>138</v>
      </c>
      <c r="P41" s="10" t="s">
        <v>138</v>
      </c>
      <c r="Q41" s="10">
        <v>1</v>
      </c>
      <c r="R41" t="s">
        <v>151</v>
      </c>
      <c r="S41" t="s">
        <v>151</v>
      </c>
      <c r="T41">
        <v>1</v>
      </c>
      <c r="U41" s="10" t="s">
        <v>138</v>
      </c>
      <c r="V41" s="10" t="s">
        <v>138</v>
      </c>
      <c r="W41" s="10">
        <v>1</v>
      </c>
      <c r="X41" t="s">
        <v>151</v>
      </c>
      <c r="Y41" t="s">
        <v>151</v>
      </c>
      <c r="Z41">
        <v>1</v>
      </c>
      <c r="AA41" s="21">
        <f t="shared" si="0"/>
        <v>8</v>
      </c>
      <c r="AB41" s="21">
        <f t="shared" si="1"/>
        <v>100</v>
      </c>
      <c r="AC41" s="21">
        <f t="shared" si="2"/>
        <v>1</v>
      </c>
      <c r="AD41" s="21">
        <f t="shared" si="3"/>
        <v>1</v>
      </c>
      <c r="AE41" s="21">
        <f t="shared" si="4"/>
        <v>4</v>
      </c>
      <c r="AF41" s="21">
        <f t="shared" si="5"/>
        <v>100</v>
      </c>
      <c r="AG41" s="21">
        <f t="shared" si="6"/>
        <v>1</v>
      </c>
      <c r="AH41" s="21">
        <f t="shared" si="7"/>
        <v>2</v>
      </c>
      <c r="AI41" s="21">
        <f t="shared" si="8"/>
        <v>2</v>
      </c>
      <c r="AJ41" s="21">
        <f t="shared" si="9"/>
        <v>2</v>
      </c>
      <c r="AK41" s="21">
        <f t="shared" si="10"/>
        <v>100</v>
      </c>
      <c r="AL41" s="21">
        <f t="shared" si="13"/>
        <v>1</v>
      </c>
      <c r="AM41" s="21">
        <f t="shared" si="11"/>
        <v>2</v>
      </c>
      <c r="AN41" s="21">
        <f t="shared" si="12"/>
        <v>100</v>
      </c>
    </row>
    <row r="42" spans="1:40" x14ac:dyDescent="0.2">
      <c r="A42">
        <v>40</v>
      </c>
      <c r="B42" t="s">
        <v>81</v>
      </c>
      <c r="C42" s="17" t="s">
        <v>151</v>
      </c>
      <c r="D42" s="6" t="s">
        <v>151</v>
      </c>
      <c r="E42" s="6">
        <v>1</v>
      </c>
      <c r="F42" t="s">
        <v>138</v>
      </c>
      <c r="G42" t="s">
        <v>138</v>
      </c>
      <c r="H42">
        <v>1</v>
      </c>
      <c r="I42" s="18" t="s">
        <v>138</v>
      </c>
      <c r="J42" s="7" t="s">
        <v>138</v>
      </c>
      <c r="K42" s="7">
        <v>1</v>
      </c>
      <c r="L42" t="s">
        <v>151</v>
      </c>
      <c r="M42" t="s">
        <v>138</v>
      </c>
      <c r="N42">
        <v>0</v>
      </c>
      <c r="O42" s="10" t="s">
        <v>138</v>
      </c>
      <c r="P42" s="10" t="s">
        <v>138</v>
      </c>
      <c r="Q42" s="10">
        <v>1</v>
      </c>
      <c r="R42" t="s">
        <v>151</v>
      </c>
      <c r="S42" t="s">
        <v>151</v>
      </c>
      <c r="T42">
        <v>1</v>
      </c>
      <c r="U42" s="10" t="s">
        <v>138</v>
      </c>
      <c r="V42" s="10" t="s">
        <v>151</v>
      </c>
      <c r="W42" s="10">
        <v>0</v>
      </c>
      <c r="X42" t="s">
        <v>151</v>
      </c>
      <c r="Y42" t="s">
        <v>151</v>
      </c>
      <c r="Z42">
        <v>1</v>
      </c>
      <c r="AA42" s="21">
        <f t="shared" si="0"/>
        <v>6</v>
      </c>
      <c r="AB42" s="21">
        <f t="shared" si="1"/>
        <v>75</v>
      </c>
      <c r="AC42" s="21">
        <f t="shared" si="2"/>
        <v>0</v>
      </c>
      <c r="AD42" s="21">
        <f t="shared" si="3"/>
        <v>0</v>
      </c>
      <c r="AE42" s="21">
        <f t="shared" si="4"/>
        <v>4</v>
      </c>
      <c r="AF42" s="21">
        <f t="shared" si="5"/>
        <v>100</v>
      </c>
      <c r="AG42" s="21">
        <f t="shared" si="6"/>
        <v>1</v>
      </c>
      <c r="AH42" s="21">
        <f t="shared" si="7"/>
        <v>2</v>
      </c>
      <c r="AI42" s="21">
        <f t="shared" si="8"/>
        <v>2</v>
      </c>
      <c r="AJ42" s="21">
        <f t="shared" si="9"/>
        <v>0</v>
      </c>
      <c r="AK42" s="21">
        <f t="shared" si="10"/>
        <v>0</v>
      </c>
      <c r="AL42" s="21">
        <f t="shared" si="13"/>
        <v>0</v>
      </c>
      <c r="AM42" s="21">
        <f t="shared" si="11"/>
        <v>2</v>
      </c>
      <c r="AN42" s="21">
        <f t="shared" si="12"/>
        <v>100</v>
      </c>
    </row>
    <row r="43" spans="1:40" x14ac:dyDescent="0.2">
      <c r="A43">
        <v>41</v>
      </c>
      <c r="B43" t="s">
        <v>83</v>
      </c>
      <c r="C43" s="17" t="s">
        <v>151</v>
      </c>
      <c r="D43" s="6" t="s">
        <v>138</v>
      </c>
      <c r="E43" s="6">
        <v>0</v>
      </c>
      <c r="F43" t="s">
        <v>138</v>
      </c>
      <c r="G43" t="s">
        <v>138</v>
      </c>
      <c r="H43">
        <v>1</v>
      </c>
      <c r="I43" s="18" t="s">
        <v>138</v>
      </c>
      <c r="J43" s="7" t="s">
        <v>151</v>
      </c>
      <c r="K43" s="7">
        <v>0</v>
      </c>
      <c r="L43" t="s">
        <v>151</v>
      </c>
      <c r="M43" t="s">
        <v>151</v>
      </c>
      <c r="N43">
        <v>1</v>
      </c>
      <c r="O43" s="10" t="s">
        <v>138</v>
      </c>
      <c r="P43" s="10" t="s">
        <v>138</v>
      </c>
      <c r="Q43" s="10">
        <v>1</v>
      </c>
      <c r="R43" t="s">
        <v>151</v>
      </c>
      <c r="S43" t="s">
        <v>138</v>
      </c>
      <c r="T43">
        <v>0</v>
      </c>
      <c r="U43" s="10" t="s">
        <v>138</v>
      </c>
      <c r="V43" s="10" t="s">
        <v>151</v>
      </c>
      <c r="W43" s="10">
        <v>0</v>
      </c>
      <c r="X43" t="s">
        <v>151</v>
      </c>
      <c r="Y43" t="s">
        <v>138</v>
      </c>
      <c r="Z43">
        <v>0</v>
      </c>
      <c r="AA43" s="21">
        <f t="shared" si="0"/>
        <v>3</v>
      </c>
      <c r="AB43" s="21">
        <f t="shared" si="1"/>
        <v>37.5</v>
      </c>
      <c r="AC43" s="21">
        <f t="shared" si="2"/>
        <v>0</v>
      </c>
      <c r="AD43" s="21">
        <f t="shared" si="3"/>
        <v>0</v>
      </c>
      <c r="AE43" s="21">
        <f t="shared" si="4"/>
        <v>2</v>
      </c>
      <c r="AF43" s="21">
        <f t="shared" si="5"/>
        <v>50</v>
      </c>
      <c r="AG43" s="21">
        <f t="shared" si="6"/>
        <v>0</v>
      </c>
      <c r="AH43" s="21">
        <f t="shared" si="7"/>
        <v>1</v>
      </c>
      <c r="AI43" s="21">
        <f t="shared" si="8"/>
        <v>1</v>
      </c>
      <c r="AJ43" s="21">
        <f t="shared" si="9"/>
        <v>1</v>
      </c>
      <c r="AK43" s="21">
        <f t="shared" si="10"/>
        <v>50</v>
      </c>
      <c r="AL43" s="21">
        <f t="shared" si="13"/>
        <v>0</v>
      </c>
      <c r="AM43" s="21">
        <f t="shared" si="11"/>
        <v>0</v>
      </c>
      <c r="AN43" s="21">
        <f t="shared" si="12"/>
        <v>0</v>
      </c>
    </row>
    <row r="44" spans="1:40" x14ac:dyDescent="0.2">
      <c r="A44">
        <v>42</v>
      </c>
      <c r="B44" t="s">
        <v>85</v>
      </c>
      <c r="C44" s="17" t="s">
        <v>151</v>
      </c>
      <c r="D44" s="6" t="s">
        <v>151</v>
      </c>
      <c r="E44" s="6">
        <v>1</v>
      </c>
      <c r="F44" t="s">
        <v>138</v>
      </c>
      <c r="G44" t="s">
        <v>138</v>
      </c>
      <c r="H44">
        <v>1</v>
      </c>
      <c r="I44" s="18" t="s">
        <v>138</v>
      </c>
      <c r="J44" s="7" t="s">
        <v>138</v>
      </c>
      <c r="K44" s="7">
        <v>1</v>
      </c>
      <c r="L44" t="s">
        <v>151</v>
      </c>
      <c r="M44" t="s">
        <v>151</v>
      </c>
      <c r="N44">
        <v>1</v>
      </c>
      <c r="O44" s="10" t="s">
        <v>138</v>
      </c>
      <c r="P44" s="10" t="s">
        <v>138</v>
      </c>
      <c r="Q44" s="10">
        <v>1</v>
      </c>
      <c r="R44" t="s">
        <v>151</v>
      </c>
      <c r="S44" t="s">
        <v>151</v>
      </c>
      <c r="T44">
        <v>1</v>
      </c>
      <c r="U44" s="10" t="s">
        <v>138</v>
      </c>
      <c r="V44" s="10" t="s">
        <v>138</v>
      </c>
      <c r="W44" s="10">
        <v>1</v>
      </c>
      <c r="X44" t="s">
        <v>151</v>
      </c>
      <c r="Y44" t="s">
        <v>151</v>
      </c>
      <c r="Z44">
        <v>1</v>
      </c>
      <c r="AA44" s="21">
        <f t="shared" si="0"/>
        <v>8</v>
      </c>
      <c r="AB44" s="21">
        <f t="shared" si="1"/>
        <v>100</v>
      </c>
      <c r="AC44" s="21">
        <f t="shared" si="2"/>
        <v>1</v>
      </c>
      <c r="AD44" s="21">
        <f t="shared" si="3"/>
        <v>1</v>
      </c>
      <c r="AE44" s="21">
        <f t="shared" si="4"/>
        <v>4</v>
      </c>
      <c r="AF44" s="21">
        <f t="shared" si="5"/>
        <v>100</v>
      </c>
      <c r="AG44" s="21">
        <f t="shared" si="6"/>
        <v>1</v>
      </c>
      <c r="AH44" s="21">
        <f t="shared" si="7"/>
        <v>2</v>
      </c>
      <c r="AI44" s="21">
        <f t="shared" si="8"/>
        <v>2</v>
      </c>
      <c r="AJ44" s="21">
        <f t="shared" si="9"/>
        <v>2</v>
      </c>
      <c r="AK44" s="21">
        <f t="shared" si="10"/>
        <v>100</v>
      </c>
      <c r="AL44" s="21">
        <f t="shared" si="13"/>
        <v>1</v>
      </c>
      <c r="AM44" s="21">
        <f t="shared" si="11"/>
        <v>2</v>
      </c>
      <c r="AN44" s="21">
        <f t="shared" si="12"/>
        <v>100</v>
      </c>
    </row>
    <row r="45" spans="1:40" x14ac:dyDescent="0.2">
      <c r="A45">
        <v>43</v>
      </c>
      <c r="B45" t="s">
        <v>87</v>
      </c>
      <c r="C45" s="17" t="s">
        <v>151</v>
      </c>
      <c r="D45" s="6" t="s">
        <v>151</v>
      </c>
      <c r="E45" s="6">
        <v>1</v>
      </c>
      <c r="F45" t="s">
        <v>138</v>
      </c>
      <c r="G45" t="s">
        <v>138</v>
      </c>
      <c r="H45">
        <v>1</v>
      </c>
      <c r="I45" s="18" t="s">
        <v>138</v>
      </c>
      <c r="J45" s="7" t="s">
        <v>138</v>
      </c>
      <c r="K45" s="7">
        <v>1</v>
      </c>
      <c r="L45" t="s">
        <v>151</v>
      </c>
      <c r="M45" t="s">
        <v>151</v>
      </c>
      <c r="N45">
        <v>1</v>
      </c>
      <c r="O45" s="10" t="s">
        <v>138</v>
      </c>
      <c r="P45" s="10" t="s">
        <v>138</v>
      </c>
      <c r="Q45" s="10">
        <v>1</v>
      </c>
      <c r="R45" t="s">
        <v>151</v>
      </c>
      <c r="S45" t="s">
        <v>151</v>
      </c>
      <c r="T45">
        <v>1</v>
      </c>
      <c r="U45" s="10" t="s">
        <v>138</v>
      </c>
      <c r="V45" s="10" t="s">
        <v>138</v>
      </c>
      <c r="W45" s="10">
        <v>1</v>
      </c>
      <c r="X45" t="s">
        <v>151</v>
      </c>
      <c r="Y45" t="s">
        <v>151</v>
      </c>
      <c r="Z45">
        <v>1</v>
      </c>
      <c r="AA45" s="21">
        <f t="shared" si="0"/>
        <v>8</v>
      </c>
      <c r="AB45" s="21">
        <f t="shared" si="1"/>
        <v>100</v>
      </c>
      <c r="AC45" s="21">
        <f t="shared" si="2"/>
        <v>1</v>
      </c>
      <c r="AD45" s="21">
        <f t="shared" si="3"/>
        <v>1</v>
      </c>
      <c r="AE45" s="21">
        <f t="shared" si="4"/>
        <v>4</v>
      </c>
      <c r="AF45" s="21">
        <f t="shared" si="5"/>
        <v>100</v>
      </c>
      <c r="AG45" s="21">
        <f t="shared" si="6"/>
        <v>1</v>
      </c>
      <c r="AH45" s="21">
        <f t="shared" si="7"/>
        <v>2</v>
      </c>
      <c r="AI45" s="21">
        <f t="shared" si="8"/>
        <v>2</v>
      </c>
      <c r="AJ45" s="21">
        <f t="shared" si="9"/>
        <v>2</v>
      </c>
      <c r="AK45" s="21">
        <f t="shared" si="10"/>
        <v>100</v>
      </c>
      <c r="AL45" s="21">
        <f t="shared" si="13"/>
        <v>1</v>
      </c>
      <c r="AM45" s="21">
        <f t="shared" si="11"/>
        <v>2</v>
      </c>
      <c r="AN45" s="21">
        <f t="shared" si="12"/>
        <v>100</v>
      </c>
    </row>
    <row r="46" spans="1:40" x14ac:dyDescent="0.2">
      <c r="A46">
        <v>44</v>
      </c>
      <c r="B46" t="s">
        <v>89</v>
      </c>
      <c r="C46" s="17" t="s">
        <v>151</v>
      </c>
      <c r="D46" s="6" t="s">
        <v>151</v>
      </c>
      <c r="E46" s="6">
        <v>1</v>
      </c>
      <c r="F46" t="s">
        <v>138</v>
      </c>
      <c r="G46" t="s">
        <v>138</v>
      </c>
      <c r="H46">
        <v>1</v>
      </c>
      <c r="I46" s="18" t="s">
        <v>138</v>
      </c>
      <c r="J46" s="7" t="s">
        <v>151</v>
      </c>
      <c r="K46" s="7">
        <v>0</v>
      </c>
      <c r="L46" t="s">
        <v>151</v>
      </c>
      <c r="M46" t="s">
        <v>151</v>
      </c>
      <c r="N46">
        <v>1</v>
      </c>
      <c r="O46" s="10" t="s">
        <v>138</v>
      </c>
      <c r="P46" s="10" t="s">
        <v>138</v>
      </c>
      <c r="Q46" s="10">
        <v>1</v>
      </c>
      <c r="R46" t="s">
        <v>151</v>
      </c>
      <c r="S46" t="s">
        <v>151</v>
      </c>
      <c r="T46">
        <v>1</v>
      </c>
      <c r="U46" s="10" t="s">
        <v>138</v>
      </c>
      <c r="V46" s="10" t="s">
        <v>138</v>
      </c>
      <c r="W46" s="10">
        <v>1</v>
      </c>
      <c r="X46" t="s">
        <v>151</v>
      </c>
      <c r="Y46" t="s">
        <v>151</v>
      </c>
      <c r="Z46">
        <v>1</v>
      </c>
      <c r="AA46" s="21">
        <f t="shared" si="0"/>
        <v>7</v>
      </c>
      <c r="AB46" s="21">
        <f t="shared" si="1"/>
        <v>87.5</v>
      </c>
      <c r="AC46" s="21">
        <f t="shared" si="2"/>
        <v>1</v>
      </c>
      <c r="AD46" s="21">
        <f t="shared" si="3"/>
        <v>0</v>
      </c>
      <c r="AE46" s="21">
        <f t="shared" si="4"/>
        <v>3</v>
      </c>
      <c r="AF46" s="21">
        <f t="shared" si="5"/>
        <v>75</v>
      </c>
      <c r="AG46" s="21">
        <f t="shared" si="6"/>
        <v>0</v>
      </c>
      <c r="AH46" s="21">
        <f t="shared" si="7"/>
        <v>2</v>
      </c>
      <c r="AI46" s="21">
        <f t="shared" si="8"/>
        <v>1</v>
      </c>
      <c r="AJ46" s="21">
        <f t="shared" si="9"/>
        <v>2</v>
      </c>
      <c r="AK46" s="21">
        <f t="shared" si="10"/>
        <v>100</v>
      </c>
      <c r="AL46" s="21">
        <f t="shared" si="13"/>
        <v>1</v>
      </c>
      <c r="AM46" s="21">
        <f t="shared" si="11"/>
        <v>2</v>
      </c>
      <c r="AN46" s="21">
        <f t="shared" si="12"/>
        <v>100</v>
      </c>
    </row>
    <row r="47" spans="1:40" x14ac:dyDescent="0.2">
      <c r="A47">
        <v>45</v>
      </c>
      <c r="B47" s="3" t="s">
        <v>91</v>
      </c>
      <c r="C47" s="17" t="s">
        <v>151</v>
      </c>
      <c r="D47" s="6" t="s">
        <v>151</v>
      </c>
      <c r="E47" s="6">
        <v>1</v>
      </c>
      <c r="F47" t="s">
        <v>138</v>
      </c>
      <c r="G47" t="s">
        <v>138</v>
      </c>
      <c r="H47">
        <v>1</v>
      </c>
      <c r="I47" s="18" t="s">
        <v>138</v>
      </c>
      <c r="J47" s="7" t="s">
        <v>151</v>
      </c>
      <c r="K47" s="7">
        <v>0</v>
      </c>
      <c r="L47" t="s">
        <v>151</v>
      </c>
      <c r="M47" t="s">
        <v>138</v>
      </c>
      <c r="N47">
        <v>0</v>
      </c>
      <c r="O47" s="10" t="s">
        <v>138</v>
      </c>
      <c r="P47" s="10" t="s">
        <v>138</v>
      </c>
      <c r="Q47" s="10">
        <v>1</v>
      </c>
      <c r="R47" t="s">
        <v>151</v>
      </c>
      <c r="S47" t="s">
        <v>151</v>
      </c>
      <c r="T47">
        <v>1</v>
      </c>
      <c r="U47" s="10" t="s">
        <v>138</v>
      </c>
      <c r="V47" s="10" t="s">
        <v>138</v>
      </c>
      <c r="W47" s="10">
        <v>1</v>
      </c>
      <c r="X47" t="s">
        <v>151</v>
      </c>
      <c r="Y47" t="s">
        <v>138</v>
      </c>
      <c r="Z47">
        <v>0</v>
      </c>
      <c r="AA47" s="21">
        <f t="shared" si="0"/>
        <v>5</v>
      </c>
      <c r="AB47" s="21">
        <f t="shared" si="1"/>
        <v>62.5</v>
      </c>
      <c r="AC47" s="21">
        <f t="shared" si="2"/>
        <v>0</v>
      </c>
      <c r="AD47" s="21">
        <f t="shared" si="3"/>
        <v>0</v>
      </c>
      <c r="AE47" s="21">
        <f t="shared" si="4"/>
        <v>2</v>
      </c>
      <c r="AF47" s="21">
        <f t="shared" si="5"/>
        <v>50</v>
      </c>
      <c r="AG47" s="21">
        <f t="shared" si="6"/>
        <v>0</v>
      </c>
      <c r="AH47" s="21">
        <f t="shared" si="7"/>
        <v>1</v>
      </c>
      <c r="AI47" s="21">
        <f t="shared" si="8"/>
        <v>1</v>
      </c>
      <c r="AJ47" s="21">
        <f t="shared" si="9"/>
        <v>1</v>
      </c>
      <c r="AK47" s="21">
        <f t="shared" si="10"/>
        <v>50</v>
      </c>
      <c r="AL47" s="21">
        <f t="shared" si="13"/>
        <v>0</v>
      </c>
      <c r="AM47" s="21">
        <f t="shared" si="11"/>
        <v>2</v>
      </c>
      <c r="AN47" s="21">
        <f t="shared" si="12"/>
        <v>100</v>
      </c>
    </row>
    <row r="48" spans="1:40" x14ac:dyDescent="0.2">
      <c r="A48">
        <v>46</v>
      </c>
      <c r="B48" t="s">
        <v>93</v>
      </c>
      <c r="C48" s="17" t="s">
        <v>151</v>
      </c>
      <c r="D48" s="6" t="s">
        <v>151</v>
      </c>
      <c r="E48" s="6">
        <v>1</v>
      </c>
      <c r="F48" t="s">
        <v>138</v>
      </c>
      <c r="G48" t="s">
        <v>138</v>
      </c>
      <c r="H48">
        <v>1</v>
      </c>
      <c r="I48" s="18" t="s">
        <v>138</v>
      </c>
      <c r="J48" s="7" t="s">
        <v>138</v>
      </c>
      <c r="K48" s="7">
        <v>1</v>
      </c>
      <c r="L48" t="s">
        <v>151</v>
      </c>
      <c r="M48" t="s">
        <v>151</v>
      </c>
      <c r="N48">
        <v>1</v>
      </c>
      <c r="O48" s="10" t="s">
        <v>138</v>
      </c>
      <c r="P48" s="10" t="s">
        <v>138</v>
      </c>
      <c r="Q48" s="10">
        <v>1</v>
      </c>
      <c r="R48" t="s">
        <v>151</v>
      </c>
      <c r="S48" t="s">
        <v>151</v>
      </c>
      <c r="T48">
        <v>1</v>
      </c>
      <c r="U48" s="10" t="s">
        <v>138</v>
      </c>
      <c r="V48" s="10" t="s">
        <v>138</v>
      </c>
      <c r="W48" s="10">
        <v>1</v>
      </c>
      <c r="X48" t="s">
        <v>151</v>
      </c>
      <c r="Y48" t="s">
        <v>151</v>
      </c>
      <c r="Z48">
        <v>1</v>
      </c>
      <c r="AA48" s="21">
        <f t="shared" si="0"/>
        <v>8</v>
      </c>
      <c r="AB48" s="21">
        <f t="shared" si="1"/>
        <v>100</v>
      </c>
      <c r="AC48" s="21">
        <f t="shared" si="2"/>
        <v>1</v>
      </c>
      <c r="AD48" s="21">
        <f t="shared" si="3"/>
        <v>1</v>
      </c>
      <c r="AE48" s="21">
        <f t="shared" si="4"/>
        <v>4</v>
      </c>
      <c r="AF48" s="21">
        <f t="shared" si="5"/>
        <v>100</v>
      </c>
      <c r="AG48" s="21">
        <f t="shared" si="6"/>
        <v>1</v>
      </c>
      <c r="AH48" s="21">
        <f t="shared" si="7"/>
        <v>2</v>
      </c>
      <c r="AI48" s="21">
        <f t="shared" si="8"/>
        <v>2</v>
      </c>
      <c r="AJ48" s="21">
        <f t="shared" si="9"/>
        <v>2</v>
      </c>
      <c r="AK48" s="21">
        <f t="shared" si="10"/>
        <v>100</v>
      </c>
      <c r="AL48" s="21">
        <f t="shared" si="13"/>
        <v>1</v>
      </c>
      <c r="AM48" s="21">
        <f t="shared" si="11"/>
        <v>2</v>
      </c>
      <c r="AN48" s="21">
        <f t="shared" si="12"/>
        <v>100</v>
      </c>
    </row>
    <row r="49" spans="1:40" x14ac:dyDescent="0.2">
      <c r="A49">
        <v>48</v>
      </c>
      <c r="B49" t="s">
        <v>98</v>
      </c>
      <c r="C49" s="17" t="s">
        <v>151</v>
      </c>
      <c r="D49" s="6" t="s">
        <v>151</v>
      </c>
      <c r="E49" s="6">
        <v>1</v>
      </c>
      <c r="F49" t="s">
        <v>138</v>
      </c>
      <c r="G49" t="s">
        <v>138</v>
      </c>
      <c r="H49">
        <v>1</v>
      </c>
      <c r="I49" s="18" t="s">
        <v>138</v>
      </c>
      <c r="J49" s="7" t="s">
        <v>138</v>
      </c>
      <c r="K49" s="7">
        <v>1</v>
      </c>
      <c r="L49" t="s">
        <v>151</v>
      </c>
      <c r="M49" t="s">
        <v>151</v>
      </c>
      <c r="N49">
        <v>1</v>
      </c>
      <c r="O49" s="10" t="s">
        <v>138</v>
      </c>
      <c r="P49" s="10" t="s">
        <v>138</v>
      </c>
      <c r="Q49" s="10">
        <v>1</v>
      </c>
      <c r="R49" t="s">
        <v>151</v>
      </c>
      <c r="S49" t="s">
        <v>151</v>
      </c>
      <c r="T49">
        <v>1</v>
      </c>
      <c r="U49" s="10" t="s">
        <v>138</v>
      </c>
      <c r="V49" s="10" t="s">
        <v>138</v>
      </c>
      <c r="W49" s="10">
        <v>1</v>
      </c>
      <c r="X49" t="s">
        <v>151</v>
      </c>
      <c r="Y49" t="s">
        <v>151</v>
      </c>
      <c r="Z49">
        <v>1</v>
      </c>
      <c r="AA49" s="21">
        <f t="shared" si="0"/>
        <v>8</v>
      </c>
      <c r="AB49" s="21">
        <f t="shared" si="1"/>
        <v>100</v>
      </c>
      <c r="AC49" s="21">
        <f t="shared" si="2"/>
        <v>1</v>
      </c>
      <c r="AD49" s="21">
        <f t="shared" si="3"/>
        <v>1</v>
      </c>
      <c r="AE49" s="21">
        <f t="shared" si="4"/>
        <v>4</v>
      </c>
      <c r="AF49" s="21">
        <f t="shared" si="5"/>
        <v>100</v>
      </c>
      <c r="AG49" s="21">
        <f t="shared" si="6"/>
        <v>1</v>
      </c>
      <c r="AH49" s="21">
        <f t="shared" si="7"/>
        <v>2</v>
      </c>
      <c r="AI49" s="21">
        <f t="shared" si="8"/>
        <v>2</v>
      </c>
      <c r="AJ49" s="21">
        <f t="shared" si="9"/>
        <v>2</v>
      </c>
      <c r="AK49" s="21">
        <f t="shared" si="10"/>
        <v>100</v>
      </c>
      <c r="AL49" s="21">
        <f t="shared" si="13"/>
        <v>1</v>
      </c>
      <c r="AM49" s="21">
        <f t="shared" si="11"/>
        <v>2</v>
      </c>
      <c r="AN49" s="21">
        <f t="shared" si="12"/>
        <v>100</v>
      </c>
    </row>
    <row r="50" spans="1:40" x14ac:dyDescent="0.2">
      <c r="A50">
        <v>49</v>
      </c>
      <c r="B50" t="s">
        <v>100</v>
      </c>
      <c r="C50" s="17" t="s">
        <v>151</v>
      </c>
      <c r="D50" s="6" t="s">
        <v>138</v>
      </c>
      <c r="E50" s="6">
        <v>0</v>
      </c>
      <c r="F50" t="s">
        <v>138</v>
      </c>
      <c r="G50" t="s">
        <v>151</v>
      </c>
      <c r="H50">
        <v>0</v>
      </c>
      <c r="I50" s="18" t="s">
        <v>138</v>
      </c>
      <c r="J50" s="7" t="s">
        <v>138</v>
      </c>
      <c r="K50" s="7">
        <v>1</v>
      </c>
      <c r="L50" t="s">
        <v>151</v>
      </c>
      <c r="M50" t="s">
        <v>151</v>
      </c>
      <c r="N50">
        <v>1</v>
      </c>
      <c r="O50" s="10" t="s">
        <v>138</v>
      </c>
      <c r="P50" s="10" t="s">
        <v>138</v>
      </c>
      <c r="Q50" s="10">
        <v>1</v>
      </c>
      <c r="R50" t="s">
        <v>151</v>
      </c>
      <c r="S50" t="s">
        <v>151</v>
      </c>
      <c r="T50">
        <v>1</v>
      </c>
      <c r="U50" s="10" t="s">
        <v>138</v>
      </c>
      <c r="V50" s="10" t="s">
        <v>138</v>
      </c>
      <c r="W50" s="10">
        <v>1</v>
      </c>
      <c r="X50" t="s">
        <v>151</v>
      </c>
      <c r="Y50" t="s">
        <v>138</v>
      </c>
      <c r="Z50">
        <v>0</v>
      </c>
      <c r="AA50" s="21">
        <f t="shared" si="0"/>
        <v>5</v>
      </c>
      <c r="AB50" s="21">
        <f t="shared" si="1"/>
        <v>62.5</v>
      </c>
      <c r="AC50" s="21">
        <f t="shared" si="2"/>
        <v>0</v>
      </c>
      <c r="AD50" s="21">
        <f t="shared" si="3"/>
        <v>0</v>
      </c>
      <c r="AE50" s="21">
        <f t="shared" si="4"/>
        <v>2</v>
      </c>
      <c r="AF50" s="21">
        <f t="shared" si="5"/>
        <v>50</v>
      </c>
      <c r="AG50" s="21">
        <f t="shared" si="6"/>
        <v>0</v>
      </c>
      <c r="AH50" s="21">
        <f t="shared" si="7"/>
        <v>1</v>
      </c>
      <c r="AI50" s="21">
        <f t="shared" si="8"/>
        <v>1</v>
      </c>
      <c r="AJ50" s="21">
        <f t="shared" si="9"/>
        <v>2</v>
      </c>
      <c r="AK50" s="21">
        <f t="shared" si="10"/>
        <v>100</v>
      </c>
      <c r="AL50" s="21">
        <f t="shared" si="13"/>
        <v>1</v>
      </c>
      <c r="AM50" s="21">
        <f t="shared" si="11"/>
        <v>1</v>
      </c>
      <c r="AN50" s="21">
        <f t="shared" si="12"/>
        <v>50</v>
      </c>
    </row>
    <row r="51" spans="1:40" x14ac:dyDescent="0.2">
      <c r="A51">
        <v>50</v>
      </c>
      <c r="B51" t="s">
        <v>102</v>
      </c>
      <c r="C51" s="17" t="s">
        <v>151</v>
      </c>
      <c r="D51" s="6" t="s">
        <v>151</v>
      </c>
      <c r="E51" s="6">
        <v>1</v>
      </c>
      <c r="F51" t="s">
        <v>138</v>
      </c>
      <c r="G51" t="s">
        <v>151</v>
      </c>
      <c r="H51">
        <v>0</v>
      </c>
      <c r="I51" s="18" t="s">
        <v>138</v>
      </c>
      <c r="J51" s="7" t="s">
        <v>151</v>
      </c>
      <c r="K51" s="7">
        <v>0</v>
      </c>
      <c r="L51" t="s">
        <v>151</v>
      </c>
      <c r="M51" t="s">
        <v>138</v>
      </c>
      <c r="N51">
        <v>0</v>
      </c>
      <c r="O51" s="10" t="s">
        <v>138</v>
      </c>
      <c r="P51" s="10" t="s">
        <v>138</v>
      </c>
      <c r="Q51" s="10">
        <v>1</v>
      </c>
      <c r="R51" t="s">
        <v>151</v>
      </c>
      <c r="S51" t="s">
        <v>151</v>
      </c>
      <c r="T51">
        <v>1</v>
      </c>
      <c r="U51" s="10" t="s">
        <v>138</v>
      </c>
      <c r="V51" s="10" t="s">
        <v>151</v>
      </c>
      <c r="W51" s="10">
        <v>0</v>
      </c>
      <c r="X51" t="s">
        <v>151</v>
      </c>
      <c r="Y51" t="s">
        <v>151</v>
      </c>
      <c r="Z51">
        <v>1</v>
      </c>
      <c r="AA51" s="21">
        <f t="shared" si="0"/>
        <v>4</v>
      </c>
      <c r="AB51" s="21">
        <f t="shared" si="1"/>
        <v>50</v>
      </c>
      <c r="AC51" s="21">
        <f t="shared" si="2"/>
        <v>0</v>
      </c>
      <c r="AD51" s="21">
        <f t="shared" si="3"/>
        <v>0</v>
      </c>
      <c r="AE51" s="21">
        <f t="shared" si="4"/>
        <v>2</v>
      </c>
      <c r="AF51" s="21">
        <f t="shared" si="5"/>
        <v>50</v>
      </c>
      <c r="AG51" s="21">
        <f t="shared" si="6"/>
        <v>0</v>
      </c>
      <c r="AH51" s="21">
        <f t="shared" si="7"/>
        <v>2</v>
      </c>
      <c r="AI51" s="23">
        <f t="shared" si="8"/>
        <v>0</v>
      </c>
      <c r="AJ51" s="23">
        <f t="shared" si="9"/>
        <v>0</v>
      </c>
      <c r="AK51" s="21">
        <f t="shared" si="10"/>
        <v>0</v>
      </c>
      <c r="AL51" s="21">
        <f t="shared" si="13"/>
        <v>0</v>
      </c>
      <c r="AM51" s="21">
        <f t="shared" si="11"/>
        <v>2</v>
      </c>
      <c r="AN51" s="21">
        <f t="shared" si="12"/>
        <v>100</v>
      </c>
    </row>
    <row r="52" spans="1:40" x14ac:dyDescent="0.2">
      <c r="A52">
        <v>51</v>
      </c>
      <c r="B52" t="s">
        <v>104</v>
      </c>
      <c r="C52" s="17" t="s">
        <v>151</v>
      </c>
      <c r="D52" s="6" t="s">
        <v>151</v>
      </c>
      <c r="E52" s="6">
        <v>1</v>
      </c>
      <c r="F52" t="s">
        <v>138</v>
      </c>
      <c r="G52" t="s">
        <v>138</v>
      </c>
      <c r="H52">
        <v>1</v>
      </c>
      <c r="I52" s="18" t="s">
        <v>138</v>
      </c>
      <c r="J52" s="7" t="s">
        <v>138</v>
      </c>
      <c r="K52" s="7">
        <v>1</v>
      </c>
      <c r="L52" t="s">
        <v>151</v>
      </c>
      <c r="M52" t="s">
        <v>151</v>
      </c>
      <c r="N52">
        <v>1</v>
      </c>
      <c r="O52" s="10" t="s">
        <v>138</v>
      </c>
      <c r="P52" s="10" t="s">
        <v>138</v>
      </c>
      <c r="Q52" s="10">
        <v>1</v>
      </c>
      <c r="R52" t="s">
        <v>151</v>
      </c>
      <c r="S52" t="s">
        <v>151</v>
      </c>
      <c r="T52">
        <v>1</v>
      </c>
      <c r="U52" s="10" t="s">
        <v>138</v>
      </c>
      <c r="V52" s="10" t="s">
        <v>138</v>
      </c>
      <c r="W52" s="10">
        <v>1</v>
      </c>
      <c r="X52" t="s">
        <v>151</v>
      </c>
      <c r="Y52" t="s">
        <v>151</v>
      </c>
      <c r="Z52">
        <v>1</v>
      </c>
      <c r="AA52" s="21">
        <f t="shared" si="0"/>
        <v>8</v>
      </c>
      <c r="AB52" s="21">
        <f t="shared" si="1"/>
        <v>100</v>
      </c>
      <c r="AC52" s="21">
        <f t="shared" si="2"/>
        <v>1</v>
      </c>
      <c r="AD52" s="21">
        <f t="shared" si="3"/>
        <v>1</v>
      </c>
      <c r="AE52" s="21">
        <f t="shared" si="4"/>
        <v>4</v>
      </c>
      <c r="AF52" s="21">
        <f t="shared" si="5"/>
        <v>100</v>
      </c>
      <c r="AG52" s="21">
        <f t="shared" si="6"/>
        <v>1</v>
      </c>
      <c r="AH52" s="21">
        <f t="shared" si="7"/>
        <v>2</v>
      </c>
      <c r="AI52" s="21">
        <f t="shared" si="8"/>
        <v>2</v>
      </c>
      <c r="AJ52" s="21">
        <f t="shared" si="9"/>
        <v>2</v>
      </c>
      <c r="AK52" s="21">
        <f t="shared" si="10"/>
        <v>100</v>
      </c>
      <c r="AL52" s="21">
        <f t="shared" si="13"/>
        <v>1</v>
      </c>
      <c r="AM52" s="21">
        <f t="shared" si="11"/>
        <v>2</v>
      </c>
      <c r="AN52" s="21">
        <f t="shared" si="12"/>
        <v>100</v>
      </c>
    </row>
    <row r="53" spans="1:40" x14ac:dyDescent="0.2">
      <c r="A53">
        <v>52</v>
      </c>
      <c r="B53" t="s">
        <v>106</v>
      </c>
      <c r="C53" s="17" t="s">
        <v>151</v>
      </c>
      <c r="D53" s="6" t="s">
        <v>151</v>
      </c>
      <c r="E53" s="6">
        <v>1</v>
      </c>
      <c r="F53" t="s">
        <v>138</v>
      </c>
      <c r="G53" t="s">
        <v>138</v>
      </c>
      <c r="H53">
        <v>1</v>
      </c>
      <c r="I53" s="18" t="s">
        <v>138</v>
      </c>
      <c r="J53" s="7" t="s">
        <v>138</v>
      </c>
      <c r="K53" s="7">
        <v>1</v>
      </c>
      <c r="L53" t="s">
        <v>151</v>
      </c>
      <c r="M53" t="s">
        <v>151</v>
      </c>
      <c r="N53">
        <v>1</v>
      </c>
      <c r="O53" s="10" t="s">
        <v>138</v>
      </c>
      <c r="P53" s="10" t="s">
        <v>138</v>
      </c>
      <c r="Q53" s="10">
        <v>1</v>
      </c>
      <c r="R53" t="s">
        <v>151</v>
      </c>
      <c r="S53" t="s">
        <v>151</v>
      </c>
      <c r="T53">
        <v>1</v>
      </c>
      <c r="U53" s="10" t="s">
        <v>138</v>
      </c>
      <c r="V53" s="10" t="s">
        <v>151</v>
      </c>
      <c r="W53" s="10">
        <v>0</v>
      </c>
      <c r="X53" t="s">
        <v>151</v>
      </c>
      <c r="Y53" t="s">
        <v>151</v>
      </c>
      <c r="Z53">
        <v>1</v>
      </c>
      <c r="AA53" s="21">
        <f t="shared" si="0"/>
        <v>7</v>
      </c>
      <c r="AB53" s="21">
        <f t="shared" si="1"/>
        <v>87.5</v>
      </c>
      <c r="AC53" s="21">
        <f t="shared" si="2"/>
        <v>1</v>
      </c>
      <c r="AD53" s="21">
        <f t="shared" si="3"/>
        <v>0</v>
      </c>
      <c r="AE53" s="21">
        <f t="shared" si="4"/>
        <v>4</v>
      </c>
      <c r="AF53" s="21">
        <f t="shared" si="5"/>
        <v>100</v>
      </c>
      <c r="AG53" s="21">
        <f t="shared" si="6"/>
        <v>1</v>
      </c>
      <c r="AH53" s="21">
        <f t="shared" si="7"/>
        <v>2</v>
      </c>
      <c r="AI53" s="21">
        <f t="shared" si="8"/>
        <v>2</v>
      </c>
      <c r="AJ53" s="21">
        <f t="shared" si="9"/>
        <v>1</v>
      </c>
      <c r="AK53" s="21">
        <f t="shared" si="10"/>
        <v>50</v>
      </c>
      <c r="AL53" s="21">
        <f t="shared" si="13"/>
        <v>0</v>
      </c>
      <c r="AM53" s="21">
        <f t="shared" si="11"/>
        <v>2</v>
      </c>
      <c r="AN53" s="21">
        <f t="shared" si="12"/>
        <v>100</v>
      </c>
    </row>
    <row r="54" spans="1:40" x14ac:dyDescent="0.2">
      <c r="A54">
        <v>53</v>
      </c>
      <c r="B54" t="s">
        <v>108</v>
      </c>
      <c r="C54" s="17" t="s">
        <v>151</v>
      </c>
      <c r="D54" s="6" t="s">
        <v>138</v>
      </c>
      <c r="E54" s="6">
        <v>0</v>
      </c>
      <c r="F54" t="s">
        <v>138</v>
      </c>
      <c r="G54" t="s">
        <v>151</v>
      </c>
      <c r="H54">
        <v>0</v>
      </c>
      <c r="I54" s="18" t="s">
        <v>138</v>
      </c>
      <c r="J54" s="7" t="s">
        <v>151</v>
      </c>
      <c r="K54" s="7">
        <v>0</v>
      </c>
      <c r="L54" t="s">
        <v>151</v>
      </c>
      <c r="M54" t="s">
        <v>138</v>
      </c>
      <c r="N54">
        <v>0</v>
      </c>
      <c r="O54" s="10" t="s">
        <v>138</v>
      </c>
      <c r="P54" s="10" t="s">
        <v>138</v>
      </c>
      <c r="Q54" s="10">
        <v>1</v>
      </c>
      <c r="R54" t="s">
        <v>151</v>
      </c>
      <c r="S54" t="s">
        <v>151</v>
      </c>
      <c r="T54">
        <v>1</v>
      </c>
      <c r="U54" s="10" t="s">
        <v>138</v>
      </c>
      <c r="V54" s="10" t="s">
        <v>151</v>
      </c>
      <c r="W54" s="10">
        <v>0</v>
      </c>
      <c r="X54" t="s">
        <v>151</v>
      </c>
      <c r="Y54" t="s">
        <v>151</v>
      </c>
      <c r="Z54">
        <v>1</v>
      </c>
      <c r="AA54" s="21">
        <f t="shared" si="0"/>
        <v>3</v>
      </c>
      <c r="AB54" s="21">
        <f t="shared" si="1"/>
        <v>37.5</v>
      </c>
      <c r="AC54" s="21">
        <f t="shared" si="2"/>
        <v>0</v>
      </c>
      <c r="AD54" s="21">
        <f t="shared" si="3"/>
        <v>0</v>
      </c>
      <c r="AE54" s="21">
        <f t="shared" si="4"/>
        <v>2</v>
      </c>
      <c r="AF54" s="21">
        <f t="shared" si="5"/>
        <v>50</v>
      </c>
      <c r="AG54" s="21">
        <f t="shared" si="6"/>
        <v>0</v>
      </c>
      <c r="AH54" s="21">
        <f t="shared" si="7"/>
        <v>2</v>
      </c>
      <c r="AI54" s="23">
        <f t="shared" si="8"/>
        <v>0</v>
      </c>
      <c r="AJ54" s="23">
        <f t="shared" si="9"/>
        <v>0</v>
      </c>
      <c r="AK54" s="21">
        <f t="shared" si="10"/>
        <v>0</v>
      </c>
      <c r="AL54" s="21">
        <f t="shared" si="13"/>
        <v>0</v>
      </c>
      <c r="AM54" s="21">
        <f t="shared" si="11"/>
        <v>1</v>
      </c>
      <c r="AN54" s="21">
        <f t="shared" si="12"/>
        <v>50</v>
      </c>
    </row>
    <row r="55" spans="1:40" x14ac:dyDescent="0.2">
      <c r="A55">
        <v>54</v>
      </c>
      <c r="B55" t="s">
        <v>110</v>
      </c>
      <c r="C55" s="17" t="s">
        <v>151</v>
      </c>
      <c r="D55" s="6" t="s">
        <v>151</v>
      </c>
      <c r="E55" s="6">
        <v>1</v>
      </c>
      <c r="F55" t="s">
        <v>138</v>
      </c>
      <c r="G55" t="s">
        <v>151</v>
      </c>
      <c r="H55">
        <v>0</v>
      </c>
      <c r="I55" s="18" t="s">
        <v>138</v>
      </c>
      <c r="J55" s="7" t="s">
        <v>138</v>
      </c>
      <c r="K55" s="7">
        <v>1</v>
      </c>
      <c r="L55" t="s">
        <v>151</v>
      </c>
      <c r="M55" t="s">
        <v>151</v>
      </c>
      <c r="N55">
        <v>1</v>
      </c>
      <c r="O55" s="10" t="s">
        <v>138</v>
      </c>
      <c r="P55" s="10" t="s">
        <v>138</v>
      </c>
      <c r="Q55" s="10">
        <v>1</v>
      </c>
      <c r="R55" t="s">
        <v>151</v>
      </c>
      <c r="S55" t="s">
        <v>151</v>
      </c>
      <c r="T55">
        <v>1</v>
      </c>
      <c r="U55" s="10" t="s">
        <v>138</v>
      </c>
      <c r="V55" s="10" t="s">
        <v>138</v>
      </c>
      <c r="W55" s="10">
        <v>1</v>
      </c>
      <c r="X55" t="s">
        <v>151</v>
      </c>
      <c r="Y55" t="s">
        <v>151</v>
      </c>
      <c r="Z55">
        <v>1</v>
      </c>
      <c r="AA55" s="21">
        <f t="shared" si="0"/>
        <v>7</v>
      </c>
      <c r="AB55" s="21">
        <f t="shared" si="1"/>
        <v>87.5</v>
      </c>
      <c r="AC55" s="21">
        <f t="shared" si="2"/>
        <v>1</v>
      </c>
      <c r="AD55" s="21">
        <f t="shared" si="3"/>
        <v>0</v>
      </c>
      <c r="AE55" s="21">
        <f t="shared" si="4"/>
        <v>3</v>
      </c>
      <c r="AF55" s="21">
        <f t="shared" si="5"/>
        <v>75</v>
      </c>
      <c r="AG55" s="21">
        <f t="shared" si="6"/>
        <v>0</v>
      </c>
      <c r="AH55" s="21">
        <f t="shared" si="7"/>
        <v>2</v>
      </c>
      <c r="AI55" s="21">
        <f t="shared" si="8"/>
        <v>1</v>
      </c>
      <c r="AJ55" s="21">
        <f t="shared" si="9"/>
        <v>2</v>
      </c>
      <c r="AK55" s="21">
        <f t="shared" si="10"/>
        <v>100</v>
      </c>
      <c r="AL55" s="21">
        <f t="shared" si="13"/>
        <v>1</v>
      </c>
      <c r="AM55" s="21">
        <f t="shared" si="11"/>
        <v>2</v>
      </c>
      <c r="AN55" s="21">
        <f t="shared" si="12"/>
        <v>100</v>
      </c>
    </row>
    <row r="56" spans="1:40" x14ac:dyDescent="0.2">
      <c r="A56">
        <v>55</v>
      </c>
      <c r="B56" s="3" t="s">
        <v>112</v>
      </c>
      <c r="C56" s="17" t="s">
        <v>151</v>
      </c>
      <c r="D56" s="6" t="s">
        <v>151</v>
      </c>
      <c r="E56" s="6">
        <v>1</v>
      </c>
      <c r="F56" t="s">
        <v>138</v>
      </c>
      <c r="G56" t="s">
        <v>138</v>
      </c>
      <c r="H56">
        <v>1</v>
      </c>
      <c r="I56" s="18" t="s">
        <v>138</v>
      </c>
      <c r="J56" s="7" t="s">
        <v>138</v>
      </c>
      <c r="K56" s="7">
        <v>1</v>
      </c>
      <c r="L56" t="s">
        <v>151</v>
      </c>
      <c r="M56" t="s">
        <v>151</v>
      </c>
      <c r="N56">
        <v>1</v>
      </c>
      <c r="O56" s="10" t="s">
        <v>138</v>
      </c>
      <c r="P56" s="10" t="s">
        <v>138</v>
      </c>
      <c r="Q56" s="10">
        <v>1</v>
      </c>
      <c r="R56" t="s">
        <v>151</v>
      </c>
      <c r="S56" t="s">
        <v>151</v>
      </c>
      <c r="T56">
        <v>1</v>
      </c>
      <c r="U56" s="10" t="s">
        <v>138</v>
      </c>
      <c r="V56" s="10" t="s">
        <v>138</v>
      </c>
      <c r="W56" s="10">
        <v>1</v>
      </c>
      <c r="X56" t="s">
        <v>151</v>
      </c>
      <c r="Y56" t="s">
        <v>151</v>
      </c>
      <c r="Z56">
        <v>1</v>
      </c>
      <c r="AA56" s="21">
        <f t="shared" si="0"/>
        <v>8</v>
      </c>
      <c r="AB56" s="21">
        <f t="shared" si="1"/>
        <v>100</v>
      </c>
      <c r="AC56" s="21">
        <f t="shared" si="2"/>
        <v>1</v>
      </c>
      <c r="AD56" s="21">
        <f t="shared" si="3"/>
        <v>1</v>
      </c>
      <c r="AE56" s="21">
        <f t="shared" si="4"/>
        <v>4</v>
      </c>
      <c r="AF56" s="21">
        <f t="shared" si="5"/>
        <v>100</v>
      </c>
      <c r="AG56" s="21">
        <f t="shared" si="6"/>
        <v>1</v>
      </c>
      <c r="AH56" s="21">
        <f t="shared" si="7"/>
        <v>2</v>
      </c>
      <c r="AI56" s="21">
        <f t="shared" si="8"/>
        <v>2</v>
      </c>
      <c r="AJ56" s="21">
        <f t="shared" si="9"/>
        <v>2</v>
      </c>
      <c r="AK56" s="21">
        <f t="shared" si="10"/>
        <v>100</v>
      </c>
      <c r="AL56" s="21">
        <f t="shared" si="13"/>
        <v>1</v>
      </c>
      <c r="AM56" s="21">
        <f t="shared" si="11"/>
        <v>2</v>
      </c>
      <c r="AN56" s="21">
        <f t="shared" si="12"/>
        <v>100</v>
      </c>
    </row>
    <row r="57" spans="1:40" x14ac:dyDescent="0.2">
      <c r="A57">
        <v>56</v>
      </c>
      <c r="B57">
        <v>3715</v>
      </c>
      <c r="C57" s="17" t="s">
        <v>151</v>
      </c>
      <c r="D57" s="6" t="s">
        <v>151</v>
      </c>
      <c r="E57" s="6">
        <v>1</v>
      </c>
      <c r="F57" t="s">
        <v>138</v>
      </c>
      <c r="G57" t="s">
        <v>138</v>
      </c>
      <c r="H57">
        <v>1</v>
      </c>
      <c r="I57" s="18" t="s">
        <v>138</v>
      </c>
      <c r="J57" s="7" t="s">
        <v>138</v>
      </c>
      <c r="K57" s="7">
        <v>1</v>
      </c>
      <c r="L57" t="s">
        <v>151</v>
      </c>
      <c r="M57" t="s">
        <v>151</v>
      </c>
      <c r="N57">
        <v>1</v>
      </c>
      <c r="O57" s="10" t="s">
        <v>138</v>
      </c>
      <c r="P57" s="10" t="s">
        <v>138</v>
      </c>
      <c r="Q57" s="10">
        <v>1</v>
      </c>
      <c r="R57" t="s">
        <v>151</v>
      </c>
      <c r="S57" t="s">
        <v>138</v>
      </c>
      <c r="T57">
        <v>0</v>
      </c>
      <c r="U57" s="10" t="s">
        <v>138</v>
      </c>
      <c r="V57" s="10" t="s">
        <v>138</v>
      </c>
      <c r="W57" s="10">
        <v>1</v>
      </c>
      <c r="X57" t="s">
        <v>151</v>
      </c>
      <c r="Y57" t="s">
        <v>151</v>
      </c>
      <c r="Z57">
        <v>1</v>
      </c>
      <c r="AA57" s="21">
        <f t="shared" si="0"/>
        <v>7</v>
      </c>
      <c r="AB57" s="21">
        <f t="shared" si="1"/>
        <v>87.5</v>
      </c>
      <c r="AC57" s="21">
        <f t="shared" si="2"/>
        <v>1</v>
      </c>
      <c r="AD57" s="21">
        <f t="shared" si="3"/>
        <v>0</v>
      </c>
      <c r="AE57" s="21">
        <f t="shared" si="4"/>
        <v>4</v>
      </c>
      <c r="AF57" s="21">
        <f t="shared" si="5"/>
        <v>100</v>
      </c>
      <c r="AG57" s="21">
        <f t="shared" si="6"/>
        <v>1</v>
      </c>
      <c r="AH57" s="21">
        <f t="shared" si="7"/>
        <v>2</v>
      </c>
      <c r="AI57" s="21">
        <f t="shared" si="8"/>
        <v>2</v>
      </c>
      <c r="AJ57" s="21">
        <f t="shared" si="9"/>
        <v>2</v>
      </c>
      <c r="AK57" s="21">
        <f t="shared" si="10"/>
        <v>100</v>
      </c>
      <c r="AL57" s="21">
        <f t="shared" si="13"/>
        <v>1</v>
      </c>
      <c r="AM57" s="21">
        <f t="shared" si="11"/>
        <v>1</v>
      </c>
      <c r="AN57" s="21">
        <f t="shared" si="12"/>
        <v>50</v>
      </c>
    </row>
    <row r="58" spans="1:40" x14ac:dyDescent="0.2">
      <c r="A58">
        <v>57</v>
      </c>
      <c r="B58" t="s">
        <v>115</v>
      </c>
      <c r="C58" s="17" t="s">
        <v>151</v>
      </c>
      <c r="D58" s="6" t="s">
        <v>151</v>
      </c>
      <c r="E58" s="6">
        <v>1</v>
      </c>
      <c r="F58" t="s">
        <v>138</v>
      </c>
      <c r="G58" t="s">
        <v>138</v>
      </c>
      <c r="H58">
        <v>1</v>
      </c>
      <c r="I58" s="18" t="s">
        <v>138</v>
      </c>
      <c r="J58" s="7" t="s">
        <v>151</v>
      </c>
      <c r="K58" s="7">
        <v>0</v>
      </c>
      <c r="L58" t="s">
        <v>151</v>
      </c>
      <c r="M58" t="s">
        <v>138</v>
      </c>
      <c r="N58">
        <v>0</v>
      </c>
      <c r="O58" s="10" t="s">
        <v>138</v>
      </c>
      <c r="P58" s="10" t="s">
        <v>138</v>
      </c>
      <c r="Q58" s="10">
        <v>1</v>
      </c>
      <c r="R58" t="s">
        <v>151</v>
      </c>
      <c r="S58" t="s">
        <v>151</v>
      </c>
      <c r="T58">
        <v>1</v>
      </c>
      <c r="U58" s="10" t="s">
        <v>138</v>
      </c>
      <c r="V58" s="10" t="s">
        <v>138</v>
      </c>
      <c r="W58" s="10">
        <v>1</v>
      </c>
      <c r="X58" t="s">
        <v>151</v>
      </c>
      <c r="Y58" t="s">
        <v>151</v>
      </c>
      <c r="Z58">
        <v>1</v>
      </c>
      <c r="AA58" s="21">
        <f t="shared" si="0"/>
        <v>6</v>
      </c>
      <c r="AB58" s="21">
        <f t="shared" si="1"/>
        <v>75</v>
      </c>
      <c r="AC58" s="21">
        <f t="shared" si="2"/>
        <v>0</v>
      </c>
      <c r="AD58" s="21">
        <f t="shared" si="3"/>
        <v>0</v>
      </c>
      <c r="AE58" s="21">
        <f t="shared" si="4"/>
        <v>3</v>
      </c>
      <c r="AF58" s="21">
        <f t="shared" si="5"/>
        <v>75</v>
      </c>
      <c r="AG58" s="21">
        <f t="shared" si="6"/>
        <v>0</v>
      </c>
      <c r="AH58" s="21">
        <f t="shared" si="7"/>
        <v>2</v>
      </c>
      <c r="AI58" s="21">
        <f t="shared" si="8"/>
        <v>1</v>
      </c>
      <c r="AJ58" s="21">
        <f t="shared" si="9"/>
        <v>1</v>
      </c>
      <c r="AK58" s="21">
        <f t="shared" si="10"/>
        <v>50</v>
      </c>
      <c r="AL58" s="21">
        <f t="shared" si="13"/>
        <v>0</v>
      </c>
      <c r="AM58" s="21">
        <f t="shared" si="11"/>
        <v>2</v>
      </c>
      <c r="AN58" s="21">
        <f t="shared" si="12"/>
        <v>100</v>
      </c>
    </row>
    <row r="59" spans="1:40" x14ac:dyDescent="0.2">
      <c r="A59">
        <v>58</v>
      </c>
      <c r="B59" t="s">
        <v>117</v>
      </c>
      <c r="C59" s="17" t="s">
        <v>151</v>
      </c>
      <c r="D59" s="6" t="s">
        <v>151</v>
      </c>
      <c r="E59" s="6">
        <v>1</v>
      </c>
      <c r="F59" t="s">
        <v>138</v>
      </c>
      <c r="G59" t="s">
        <v>138</v>
      </c>
      <c r="H59">
        <v>1</v>
      </c>
      <c r="I59" s="18" t="s">
        <v>138</v>
      </c>
      <c r="J59" s="7" t="s">
        <v>138</v>
      </c>
      <c r="K59" s="7">
        <v>1</v>
      </c>
      <c r="L59" t="s">
        <v>151</v>
      </c>
      <c r="M59" t="s">
        <v>151</v>
      </c>
      <c r="N59">
        <v>1</v>
      </c>
      <c r="O59" s="10" t="s">
        <v>138</v>
      </c>
      <c r="P59" s="10" t="s">
        <v>138</v>
      </c>
      <c r="Q59" s="10">
        <v>1</v>
      </c>
      <c r="R59" t="s">
        <v>151</v>
      </c>
      <c r="S59" t="s">
        <v>151</v>
      </c>
      <c r="T59">
        <v>1</v>
      </c>
      <c r="U59" s="10" t="s">
        <v>138</v>
      </c>
      <c r="V59" s="10" t="s">
        <v>138</v>
      </c>
      <c r="W59" s="10">
        <v>1</v>
      </c>
      <c r="X59" t="s">
        <v>151</v>
      </c>
      <c r="Y59" t="s">
        <v>151</v>
      </c>
      <c r="Z59">
        <v>1</v>
      </c>
      <c r="AA59" s="21">
        <f t="shared" si="0"/>
        <v>8</v>
      </c>
      <c r="AB59" s="21">
        <f t="shared" si="1"/>
        <v>100</v>
      </c>
      <c r="AC59" s="21">
        <f t="shared" si="2"/>
        <v>1</v>
      </c>
      <c r="AD59" s="21">
        <f t="shared" si="3"/>
        <v>1</v>
      </c>
      <c r="AE59" s="21">
        <f t="shared" si="4"/>
        <v>4</v>
      </c>
      <c r="AF59" s="21">
        <f t="shared" si="5"/>
        <v>100</v>
      </c>
      <c r="AG59" s="21">
        <f t="shared" si="6"/>
        <v>1</v>
      </c>
      <c r="AH59" s="21">
        <f t="shared" si="7"/>
        <v>2</v>
      </c>
      <c r="AI59" s="21">
        <f t="shared" si="8"/>
        <v>2</v>
      </c>
      <c r="AJ59" s="21">
        <f t="shared" si="9"/>
        <v>2</v>
      </c>
      <c r="AK59" s="21">
        <f t="shared" si="10"/>
        <v>100</v>
      </c>
      <c r="AL59" s="21">
        <f t="shared" si="13"/>
        <v>1</v>
      </c>
      <c r="AM59" s="21">
        <f t="shared" si="11"/>
        <v>2</v>
      </c>
      <c r="AN59" s="21">
        <f t="shared" si="12"/>
        <v>100</v>
      </c>
    </row>
    <row r="60" spans="1:40" x14ac:dyDescent="0.2">
      <c r="A60">
        <v>59</v>
      </c>
      <c r="B60" s="3" t="s">
        <v>119</v>
      </c>
      <c r="C60" s="17" t="s">
        <v>151</v>
      </c>
      <c r="D60" s="6" t="s">
        <v>151</v>
      </c>
      <c r="E60" s="6">
        <v>1</v>
      </c>
      <c r="F60" t="s">
        <v>138</v>
      </c>
      <c r="G60" t="s">
        <v>138</v>
      </c>
      <c r="H60">
        <v>1</v>
      </c>
      <c r="I60" s="18" t="s">
        <v>138</v>
      </c>
      <c r="J60" s="7" t="s">
        <v>138</v>
      </c>
      <c r="K60" s="7">
        <v>1</v>
      </c>
      <c r="L60" t="s">
        <v>151</v>
      </c>
      <c r="M60" t="s">
        <v>151</v>
      </c>
      <c r="N60">
        <v>1</v>
      </c>
      <c r="O60" s="10" t="s">
        <v>138</v>
      </c>
      <c r="P60" s="10" t="s">
        <v>138</v>
      </c>
      <c r="Q60" s="10">
        <v>1</v>
      </c>
      <c r="R60" t="s">
        <v>151</v>
      </c>
      <c r="S60" t="s">
        <v>151</v>
      </c>
      <c r="T60">
        <v>1</v>
      </c>
      <c r="U60" s="10" t="s">
        <v>138</v>
      </c>
      <c r="V60" s="10" t="s">
        <v>138</v>
      </c>
      <c r="W60" s="10">
        <v>1</v>
      </c>
      <c r="X60" t="s">
        <v>151</v>
      </c>
      <c r="Y60" t="s">
        <v>151</v>
      </c>
      <c r="Z60">
        <v>1</v>
      </c>
      <c r="AA60" s="21">
        <f t="shared" si="0"/>
        <v>8</v>
      </c>
      <c r="AB60" s="21">
        <f t="shared" si="1"/>
        <v>100</v>
      </c>
      <c r="AC60" s="21">
        <f t="shared" si="2"/>
        <v>1</v>
      </c>
      <c r="AD60" s="21">
        <f t="shared" si="3"/>
        <v>1</v>
      </c>
      <c r="AE60" s="21">
        <f t="shared" si="4"/>
        <v>4</v>
      </c>
      <c r="AF60" s="21">
        <f t="shared" si="5"/>
        <v>100</v>
      </c>
      <c r="AG60" s="21">
        <f t="shared" si="6"/>
        <v>1</v>
      </c>
      <c r="AH60" s="21">
        <f t="shared" si="7"/>
        <v>2</v>
      </c>
      <c r="AI60" s="21">
        <f t="shared" si="8"/>
        <v>2</v>
      </c>
      <c r="AJ60" s="21">
        <f t="shared" si="9"/>
        <v>2</v>
      </c>
      <c r="AK60" s="21">
        <f t="shared" si="10"/>
        <v>100</v>
      </c>
      <c r="AL60" s="21">
        <f t="shared" si="13"/>
        <v>1</v>
      </c>
      <c r="AM60" s="21">
        <f t="shared" si="11"/>
        <v>2</v>
      </c>
      <c r="AN60" s="21">
        <f t="shared" si="12"/>
        <v>100</v>
      </c>
    </row>
    <row r="61" spans="1:40" x14ac:dyDescent="0.2">
      <c r="A61">
        <v>61</v>
      </c>
      <c r="B61" t="s">
        <v>123</v>
      </c>
      <c r="C61" s="17" t="s">
        <v>151</v>
      </c>
      <c r="D61" s="6" t="s">
        <v>151</v>
      </c>
      <c r="E61" s="6">
        <v>1</v>
      </c>
      <c r="F61" t="s">
        <v>138</v>
      </c>
      <c r="G61" t="s">
        <v>138</v>
      </c>
      <c r="H61">
        <v>1</v>
      </c>
      <c r="I61" s="18" t="s">
        <v>138</v>
      </c>
      <c r="J61" s="7" t="s">
        <v>138</v>
      </c>
      <c r="K61" s="7">
        <v>1</v>
      </c>
      <c r="L61" t="s">
        <v>151</v>
      </c>
      <c r="M61" t="s">
        <v>151</v>
      </c>
      <c r="N61">
        <v>1</v>
      </c>
      <c r="O61" s="10" t="s">
        <v>138</v>
      </c>
      <c r="P61" s="10" t="s">
        <v>138</v>
      </c>
      <c r="Q61" s="10">
        <v>1</v>
      </c>
      <c r="R61" t="s">
        <v>151</v>
      </c>
      <c r="S61" t="s">
        <v>151</v>
      </c>
      <c r="T61">
        <v>1</v>
      </c>
      <c r="U61" s="10" t="s">
        <v>138</v>
      </c>
      <c r="V61" s="10" t="s">
        <v>138</v>
      </c>
      <c r="W61" s="10">
        <v>1</v>
      </c>
      <c r="X61" t="s">
        <v>151</v>
      </c>
      <c r="Y61" t="s">
        <v>151</v>
      </c>
      <c r="Z61">
        <v>1</v>
      </c>
      <c r="AA61" s="21">
        <f t="shared" si="0"/>
        <v>8</v>
      </c>
      <c r="AB61" s="21">
        <f t="shared" si="1"/>
        <v>100</v>
      </c>
      <c r="AC61" s="21">
        <f t="shared" si="2"/>
        <v>1</v>
      </c>
      <c r="AD61" s="21">
        <f t="shared" si="3"/>
        <v>1</v>
      </c>
      <c r="AE61" s="21">
        <f t="shared" si="4"/>
        <v>4</v>
      </c>
      <c r="AF61" s="21">
        <f t="shared" si="5"/>
        <v>100</v>
      </c>
      <c r="AG61" s="21">
        <f t="shared" si="6"/>
        <v>1</v>
      </c>
      <c r="AH61" s="21">
        <f t="shared" si="7"/>
        <v>2</v>
      </c>
      <c r="AI61" s="21">
        <f t="shared" si="8"/>
        <v>2</v>
      </c>
      <c r="AJ61" s="21">
        <f t="shared" si="9"/>
        <v>2</v>
      </c>
      <c r="AK61" s="21">
        <f t="shared" si="10"/>
        <v>100</v>
      </c>
      <c r="AL61" s="21">
        <f t="shared" si="13"/>
        <v>1</v>
      </c>
      <c r="AM61" s="21">
        <f t="shared" si="11"/>
        <v>2</v>
      </c>
      <c r="AN61" s="21">
        <f t="shared" si="12"/>
        <v>100</v>
      </c>
    </row>
    <row r="62" spans="1:40" x14ac:dyDescent="0.2">
      <c r="A62">
        <v>62</v>
      </c>
      <c r="B62" t="s">
        <v>126</v>
      </c>
      <c r="C62" s="17" t="s">
        <v>151</v>
      </c>
      <c r="D62" s="6" t="s">
        <v>151</v>
      </c>
      <c r="E62" s="6">
        <v>1</v>
      </c>
      <c r="F62" t="s">
        <v>138</v>
      </c>
      <c r="G62" t="s">
        <v>151</v>
      </c>
      <c r="H62">
        <v>0</v>
      </c>
      <c r="I62" s="18" t="s">
        <v>138</v>
      </c>
      <c r="J62" s="7" t="s">
        <v>138</v>
      </c>
      <c r="K62" s="7">
        <v>1</v>
      </c>
      <c r="L62" t="s">
        <v>151</v>
      </c>
      <c r="M62" t="s">
        <v>151</v>
      </c>
      <c r="N62">
        <v>1</v>
      </c>
      <c r="O62" s="10" t="s">
        <v>138</v>
      </c>
      <c r="P62" s="10" t="s">
        <v>138</v>
      </c>
      <c r="Q62" s="10">
        <v>1</v>
      </c>
      <c r="R62" t="s">
        <v>151</v>
      </c>
      <c r="S62" t="s">
        <v>151</v>
      </c>
      <c r="T62">
        <v>1</v>
      </c>
      <c r="U62" s="10" t="s">
        <v>138</v>
      </c>
      <c r="V62" s="10" t="s">
        <v>138</v>
      </c>
      <c r="W62" s="10">
        <v>1</v>
      </c>
      <c r="X62" t="s">
        <v>151</v>
      </c>
      <c r="Y62" t="s">
        <v>151</v>
      </c>
      <c r="Z62">
        <v>1</v>
      </c>
      <c r="AA62" s="21">
        <f t="shared" si="0"/>
        <v>7</v>
      </c>
      <c r="AB62" s="21">
        <f t="shared" si="1"/>
        <v>87.5</v>
      </c>
      <c r="AC62" s="21">
        <f t="shared" si="2"/>
        <v>1</v>
      </c>
      <c r="AD62" s="21">
        <f t="shared" si="3"/>
        <v>0</v>
      </c>
      <c r="AE62" s="21">
        <f t="shared" si="4"/>
        <v>3</v>
      </c>
      <c r="AF62" s="21">
        <f t="shared" si="5"/>
        <v>75</v>
      </c>
      <c r="AG62" s="21">
        <f t="shared" si="6"/>
        <v>0</v>
      </c>
      <c r="AH62" s="21">
        <f t="shared" si="7"/>
        <v>2</v>
      </c>
      <c r="AI62" s="21">
        <f t="shared" si="8"/>
        <v>1</v>
      </c>
      <c r="AJ62" s="21">
        <f t="shared" si="9"/>
        <v>2</v>
      </c>
      <c r="AK62" s="21">
        <f t="shared" si="10"/>
        <v>100</v>
      </c>
      <c r="AL62" s="21">
        <f t="shared" si="13"/>
        <v>1</v>
      </c>
      <c r="AM62" s="21">
        <f t="shared" si="11"/>
        <v>2</v>
      </c>
      <c r="AN62" s="21">
        <f t="shared" si="12"/>
        <v>100</v>
      </c>
    </row>
    <row r="63" spans="1:40" x14ac:dyDescent="0.2">
      <c r="A63">
        <v>63</v>
      </c>
      <c r="B63" t="s">
        <v>128</v>
      </c>
      <c r="C63" s="17" t="s">
        <v>151</v>
      </c>
      <c r="D63" s="6" t="s">
        <v>151</v>
      </c>
      <c r="E63" s="6">
        <v>1</v>
      </c>
      <c r="F63" t="s">
        <v>138</v>
      </c>
      <c r="G63" t="s">
        <v>151</v>
      </c>
      <c r="H63">
        <v>0</v>
      </c>
      <c r="I63" s="18" t="s">
        <v>138</v>
      </c>
      <c r="J63" s="7" t="s">
        <v>138</v>
      </c>
      <c r="K63" s="7">
        <v>1</v>
      </c>
      <c r="L63" t="s">
        <v>151</v>
      </c>
      <c r="M63" t="s">
        <v>138</v>
      </c>
      <c r="N63">
        <v>0</v>
      </c>
      <c r="O63" s="10" t="s">
        <v>138</v>
      </c>
      <c r="P63" s="10" t="s">
        <v>138</v>
      </c>
      <c r="Q63" s="10">
        <v>1</v>
      </c>
      <c r="R63" t="s">
        <v>151</v>
      </c>
      <c r="S63" t="s">
        <v>151</v>
      </c>
      <c r="T63">
        <v>1</v>
      </c>
      <c r="U63" s="10" t="s">
        <v>138</v>
      </c>
      <c r="V63" s="10" t="s">
        <v>138</v>
      </c>
      <c r="W63" s="10">
        <v>1</v>
      </c>
      <c r="X63" t="s">
        <v>151</v>
      </c>
      <c r="Y63" t="s">
        <v>151</v>
      </c>
      <c r="Z63">
        <v>1</v>
      </c>
      <c r="AA63" s="21">
        <f t="shared" si="0"/>
        <v>6</v>
      </c>
      <c r="AB63" s="21">
        <f t="shared" si="1"/>
        <v>75</v>
      </c>
      <c r="AC63" s="21">
        <f t="shared" si="2"/>
        <v>0</v>
      </c>
      <c r="AD63" s="21">
        <f t="shared" si="3"/>
        <v>0</v>
      </c>
      <c r="AE63" s="21">
        <f t="shared" si="4"/>
        <v>3</v>
      </c>
      <c r="AF63" s="21">
        <f t="shared" si="5"/>
        <v>75</v>
      </c>
      <c r="AG63" s="21">
        <f t="shared" si="6"/>
        <v>0</v>
      </c>
      <c r="AH63" s="21">
        <f t="shared" si="7"/>
        <v>2</v>
      </c>
      <c r="AI63" s="21">
        <f t="shared" si="8"/>
        <v>1</v>
      </c>
      <c r="AJ63" s="21">
        <f t="shared" si="9"/>
        <v>1</v>
      </c>
      <c r="AK63" s="21">
        <f t="shared" si="10"/>
        <v>50</v>
      </c>
      <c r="AL63" s="21">
        <f t="shared" si="13"/>
        <v>0</v>
      </c>
      <c r="AM63" s="21">
        <f t="shared" si="11"/>
        <v>2</v>
      </c>
      <c r="AN63" s="21">
        <f t="shared" si="12"/>
        <v>100</v>
      </c>
    </row>
    <row r="64" spans="1:40" x14ac:dyDescent="0.2">
      <c r="C64" s="17"/>
      <c r="D64" s="26" t="s">
        <v>224</v>
      </c>
      <c r="E64" s="29">
        <f>SUM(E3:E63)</f>
        <v>55</v>
      </c>
      <c r="G64" s="24" t="s">
        <v>224</v>
      </c>
      <c r="H64" s="25">
        <f>SUM(H3:H63)</f>
        <v>40</v>
      </c>
      <c r="I64" s="18"/>
      <c r="J64" s="26" t="s">
        <v>224</v>
      </c>
      <c r="K64" s="27">
        <f>SUM(K3:K63)</f>
        <v>45</v>
      </c>
      <c r="M64" s="24" t="s">
        <v>224</v>
      </c>
      <c r="N64" s="30">
        <f>SUM(N3:N63)</f>
        <v>41</v>
      </c>
      <c r="O64" s="10"/>
      <c r="P64" s="26" t="s">
        <v>224</v>
      </c>
      <c r="Q64" s="28">
        <f>SUM(Q3:Q63)</f>
        <v>57</v>
      </c>
      <c r="S64" s="24" t="s">
        <v>224</v>
      </c>
      <c r="T64" s="25">
        <f>SUM(T3:T63)</f>
        <v>57</v>
      </c>
      <c r="U64" s="10"/>
      <c r="V64" s="26" t="s">
        <v>224</v>
      </c>
      <c r="W64" s="28">
        <f>SUM(W3:W63)</f>
        <v>46</v>
      </c>
      <c r="Y64" s="26" t="s">
        <v>224</v>
      </c>
      <c r="Z64" s="25">
        <f>SUM(Z3:Z63)</f>
        <v>55</v>
      </c>
    </row>
    <row r="65" spans="1:40" x14ac:dyDescent="0.2">
      <c r="D65" s="26" t="s">
        <v>225</v>
      </c>
      <c r="E65" s="25">
        <f>(E64/COUNT(E3:E63))*100</f>
        <v>90.163934426229503</v>
      </c>
      <c r="G65" s="24" t="s">
        <v>225</v>
      </c>
      <c r="H65" s="25">
        <f>(H64/61)*100</f>
        <v>65.573770491803273</v>
      </c>
      <c r="J65" s="26" t="s">
        <v>225</v>
      </c>
      <c r="K65" s="25">
        <f>(K64/COUNT(K3:K63))*100</f>
        <v>73.770491803278688</v>
      </c>
      <c r="M65" s="24" t="s">
        <v>225</v>
      </c>
      <c r="N65" s="25">
        <f>(N64/COUNT(N3:N63))*100</f>
        <v>67.213114754098356</v>
      </c>
      <c r="P65" s="26" t="s">
        <v>225</v>
      </c>
      <c r="Q65" s="25">
        <f>(Q64/COUNT(Q3:Q63))*100</f>
        <v>93.442622950819683</v>
      </c>
      <c r="S65" s="24" t="s">
        <v>225</v>
      </c>
      <c r="T65" s="25">
        <f>(T64/COUNT(T3:T63))*100</f>
        <v>93.442622950819683</v>
      </c>
      <c r="V65" s="26" t="s">
        <v>225</v>
      </c>
      <c r="W65" s="25">
        <f>(W64/COUNT(W3:W63))*100</f>
        <v>75.409836065573771</v>
      </c>
      <c r="Y65" s="26" t="s">
        <v>225</v>
      </c>
      <c r="Z65" s="25">
        <f>(Z64/COUNT(Z3:Z63))*100</f>
        <v>90.163934426229503</v>
      </c>
      <c r="AF65">
        <f>AVERAGE(AF3:AF63)</f>
        <v>80.73770491803279</v>
      </c>
      <c r="AI65">
        <f>AVERAGE(AI3:AI63)</f>
        <v>1.3934426229508197</v>
      </c>
      <c r="AK65">
        <f>AVERAGE(AK3:AK63)</f>
        <v>71.311475409836063</v>
      </c>
      <c r="AL65">
        <f t="shared" si="13"/>
        <v>0</v>
      </c>
      <c r="AN65">
        <f>AVERAGE(AN49:AN63)</f>
        <v>90</v>
      </c>
    </row>
    <row r="66" spans="1:40" x14ac:dyDescent="0.2">
      <c r="B66" s="2" t="s">
        <v>226</v>
      </c>
    </row>
    <row r="67" spans="1:40" x14ac:dyDescent="0.2">
      <c r="A67">
        <v>47</v>
      </c>
      <c r="B67" s="4" t="s">
        <v>96</v>
      </c>
      <c r="C67" s="17" t="s">
        <v>151</v>
      </c>
      <c r="D67" s="6" t="s">
        <v>151</v>
      </c>
      <c r="E67" s="6">
        <v>1</v>
      </c>
      <c r="F67" t="s">
        <v>138</v>
      </c>
      <c r="G67" t="s">
        <v>151</v>
      </c>
      <c r="H67">
        <v>0</v>
      </c>
      <c r="I67" s="18" t="s">
        <v>138</v>
      </c>
      <c r="J67" s="7" t="s">
        <v>138</v>
      </c>
      <c r="K67" s="7">
        <v>1</v>
      </c>
      <c r="L67" t="s">
        <v>151</v>
      </c>
      <c r="M67" t="s">
        <v>138</v>
      </c>
      <c r="N67">
        <v>0</v>
      </c>
      <c r="O67" s="10" t="s">
        <v>138</v>
      </c>
      <c r="P67" s="10" t="s">
        <v>138</v>
      </c>
      <c r="Q67" s="10">
        <v>1</v>
      </c>
      <c r="R67" t="s">
        <v>151</v>
      </c>
      <c r="S67" t="s">
        <v>151</v>
      </c>
      <c r="T67">
        <v>1</v>
      </c>
      <c r="U67" s="10" t="s">
        <v>138</v>
      </c>
      <c r="V67" s="10" t="s">
        <v>151</v>
      </c>
      <c r="W67" s="10">
        <v>0</v>
      </c>
      <c r="X67" t="s">
        <v>151</v>
      </c>
      <c r="Y67" t="s">
        <v>151</v>
      </c>
      <c r="Z67">
        <v>1</v>
      </c>
      <c r="AA67">
        <f>SUM(E67,H67,K67,Q67,N67,T67,W67,Z67)</f>
        <v>5</v>
      </c>
      <c r="AB67">
        <f>(AA67/8)*100</f>
        <v>62.5</v>
      </c>
      <c r="AC67">
        <f>IF(AA67&gt;=7,1,0)</f>
        <v>0</v>
      </c>
      <c r="AD67">
        <f>IF(AA67=8,1,0)</f>
        <v>0</v>
      </c>
      <c r="AE67">
        <f>SUM(H67,Q67,K67,Z67)</f>
        <v>3</v>
      </c>
      <c r="AF67">
        <f>(AE67/4)*100</f>
        <v>75</v>
      </c>
      <c r="AG67">
        <f>IF(AE67=4,1,0)</f>
        <v>0</v>
      </c>
      <c r="AH67">
        <f>SUM(Q67,Z67)</f>
        <v>2</v>
      </c>
      <c r="AI67">
        <f>SUM(H67,K67)</f>
        <v>1</v>
      </c>
      <c r="AJ67">
        <f>SUM(N67,W67)</f>
        <v>0</v>
      </c>
      <c r="AK67">
        <f>(AJ67/2)*100</f>
        <v>0</v>
      </c>
      <c r="AL67">
        <f>IF(AK67=100,1,0)</f>
        <v>0</v>
      </c>
      <c r="AM67">
        <f>SUM(E67,T67)</f>
        <v>2</v>
      </c>
      <c r="AN67">
        <f>(AM67/2)*100</f>
        <v>100</v>
      </c>
    </row>
    <row r="68" spans="1:40" x14ac:dyDescent="0.2">
      <c r="A68">
        <v>60</v>
      </c>
      <c r="B68" s="4" t="s">
        <v>121</v>
      </c>
      <c r="C68" s="17" t="s">
        <v>151</v>
      </c>
      <c r="D68" s="6" t="s">
        <v>138</v>
      </c>
      <c r="E68" s="6">
        <v>0</v>
      </c>
      <c r="F68" t="s">
        <v>138</v>
      </c>
      <c r="G68" t="s">
        <v>138</v>
      </c>
      <c r="H68">
        <v>1</v>
      </c>
      <c r="I68" s="18" t="s">
        <v>138</v>
      </c>
      <c r="J68" s="7" t="s">
        <v>138</v>
      </c>
      <c r="K68" s="7">
        <v>1</v>
      </c>
      <c r="L68" t="s">
        <v>151</v>
      </c>
      <c r="M68" t="s">
        <v>151</v>
      </c>
      <c r="N68">
        <v>1</v>
      </c>
      <c r="O68" s="10" t="s">
        <v>138</v>
      </c>
      <c r="P68" s="10" t="s">
        <v>138</v>
      </c>
      <c r="Q68" s="10">
        <v>1</v>
      </c>
      <c r="R68" t="s">
        <v>151</v>
      </c>
      <c r="S68" t="s">
        <v>138</v>
      </c>
      <c r="T68">
        <v>0</v>
      </c>
      <c r="U68" s="10" t="s">
        <v>138</v>
      </c>
      <c r="V68" s="10" t="s">
        <v>151</v>
      </c>
      <c r="W68" s="10">
        <v>0</v>
      </c>
      <c r="X68" t="s">
        <v>151</v>
      </c>
      <c r="Y68" t="s">
        <v>138</v>
      </c>
      <c r="Z68">
        <v>0</v>
      </c>
      <c r="AA68">
        <f>SUM(E68,H68,K68,Q68,N68,T68,W68,Z68)</f>
        <v>4</v>
      </c>
      <c r="AB68">
        <f>(AA68/8)*100</f>
        <v>50</v>
      </c>
      <c r="AC68">
        <f>IF(AA68&gt;=7,1,0)</f>
        <v>0</v>
      </c>
      <c r="AD68">
        <f>IF(AA68=8,1,0)</f>
        <v>0</v>
      </c>
      <c r="AE68">
        <f>SUM(H68,Q68,K68,Z68)</f>
        <v>3</v>
      </c>
      <c r="AF68">
        <f>(AE68/4)*100</f>
        <v>75</v>
      </c>
      <c r="AG68">
        <f>IF(AE68=4,1,0)</f>
        <v>0</v>
      </c>
      <c r="AH68">
        <f>SUM(Q68,Z68)</f>
        <v>1</v>
      </c>
      <c r="AI68">
        <f>SUM(H68,K68)</f>
        <v>2</v>
      </c>
      <c r="AJ68">
        <f>SUM(N68,W68)</f>
        <v>1</v>
      </c>
      <c r="AK68">
        <f>(AJ68/2)*100</f>
        <v>50</v>
      </c>
      <c r="AL68">
        <f>IF(AK68=100,1,0)</f>
        <v>0</v>
      </c>
      <c r="AM68">
        <f>SUM(E68,T68)</f>
        <v>0</v>
      </c>
      <c r="AN68">
        <f>(AM68/2)*100</f>
        <v>0</v>
      </c>
    </row>
    <row r="69" spans="1:40" x14ac:dyDescent="0.2">
      <c r="AJ69" t="s">
        <v>213</v>
      </c>
      <c r="AL69">
        <f>SUM(AL3:AL65)</f>
        <v>39</v>
      </c>
      <c r="AM69">
        <f>(39/61)*100</f>
        <v>63.934426229508205</v>
      </c>
    </row>
    <row r="70" spans="1:40" x14ac:dyDescent="0.2">
      <c r="AJ70" t="s">
        <v>217</v>
      </c>
      <c r="AL70">
        <f>SUM(AG3:AG63)</f>
        <v>32</v>
      </c>
      <c r="AM70">
        <f>(32/61)*100</f>
        <v>52.459016393442624</v>
      </c>
    </row>
    <row r="71" spans="1:40" x14ac:dyDescent="0.2">
      <c r="AJ71" t="s">
        <v>220</v>
      </c>
      <c r="AL71">
        <f>SUM(AC3:AC63)</f>
        <v>36</v>
      </c>
      <c r="AM71">
        <f>(36/61)*100</f>
        <v>59.016393442622949</v>
      </c>
    </row>
    <row r="72" spans="1:40" x14ac:dyDescent="0.2">
      <c r="AJ72" t="s">
        <v>214</v>
      </c>
      <c r="AL72">
        <f>SUM(AD3:AD63)</f>
        <v>28</v>
      </c>
      <c r="AM72">
        <f>(28/61)*100</f>
        <v>45.901639344262293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RT</vt:lpstr>
      <vt:lpstr>Acc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2019-09-26T19:47:50Z</dcterms:created>
  <dcterms:modified xsi:type="dcterms:W3CDTF">2019-10-03T00:40:19Z</dcterms:modified>
</cp:coreProperties>
</file>